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91841f3a093f25/Área de Trabalho/"/>
    </mc:Choice>
  </mc:AlternateContent>
  <xr:revisionPtr revIDLastSave="0" documentId="8_{1AAB7C64-7CC8-4250-B4CD-D87033CC0B2E}" xr6:coauthVersionLast="47" xr6:coauthVersionMax="47" xr10:uidLastSave="{00000000-0000-0000-0000-000000000000}"/>
  <bookViews>
    <workbookView xWindow="-120" yWindow="-120" windowWidth="29040" windowHeight="15720" activeTab="3" xr2:uid="{B2775A1F-2C56-438B-B436-6426A3C86D56}"/>
  </bookViews>
  <sheets>
    <sheet name="CALCULADORA" sheetId="1" r:id="rId1"/>
    <sheet name="FULL" sheetId="2" r:id="rId2"/>
    <sheet name="FRETE" sheetId="3" r:id="rId3"/>
    <sheet name="WEB_APP_SPE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6" i="1"/>
  <c r="K5" i="1"/>
  <c r="K12" i="1"/>
  <c r="K11" i="1"/>
  <c r="K10" i="1"/>
  <c r="K9" i="1"/>
  <c r="K8" i="1"/>
  <c r="F31" i="1"/>
  <c r="E19" i="1"/>
  <c r="E15" i="1"/>
  <c r="E16" i="1" s="1"/>
  <c r="E28" i="1"/>
  <c r="E11" i="1"/>
  <c r="E12" i="1" s="1"/>
  <c r="E20" i="1"/>
  <c r="L8" i="1" l="1"/>
  <c r="M8" i="1" s="1"/>
  <c r="L9" i="1"/>
  <c r="M9" i="1" s="1"/>
  <c r="L10" i="1"/>
  <c r="M10" i="1" s="1"/>
  <c r="L11" i="1"/>
  <c r="M11" i="1" s="1"/>
  <c r="L12" i="1"/>
  <c r="M12" i="1" s="1"/>
  <c r="L5" i="1"/>
  <c r="M5" i="1" s="1"/>
  <c r="L6" i="1"/>
  <c r="M6" i="1" s="1"/>
  <c r="L7" i="1"/>
  <c r="M7" i="1" s="1"/>
  <c r="N5" i="1" l="1"/>
  <c r="E18" i="1" s="1"/>
  <c r="E22" i="1" s="1"/>
  <c r="F22" i="1" s="1"/>
  <c r="E33" i="1" l="1"/>
  <c r="F18" i="1"/>
  <c r="E36" i="1"/>
  <c r="E21" i="1" s="1"/>
  <c r="F21" i="1" s="1"/>
  <c r="E32" i="1"/>
  <c r="E34" i="1" s="1"/>
  <c r="E35" i="1" s="1"/>
  <c r="E24" i="1"/>
  <c r="E23" i="1"/>
</calcChain>
</file>

<file path=xl/sharedStrings.xml><?xml version="1.0" encoding="utf-8"?>
<sst xmlns="http://schemas.openxmlformats.org/spreadsheetml/2006/main" count="799" uniqueCount="619">
  <si>
    <t>ROAS</t>
  </si>
  <si>
    <t>CLÁSSICO</t>
  </si>
  <si>
    <t>IMPOSTOS SIMPLES</t>
  </si>
  <si>
    <t>PV</t>
  </si>
  <si>
    <t>QTD</t>
  </si>
  <si>
    <t>PRODUTO</t>
  </si>
  <si>
    <t>FISCAL/FINANCEIRO</t>
  </si>
  <si>
    <t>COMERCIAL</t>
  </si>
  <si>
    <t>CUSTO TOTAL</t>
  </si>
  <si>
    <t>CUSTO UN. C/ IPI</t>
  </si>
  <si>
    <t>SUBST. TRIBUT</t>
  </si>
  <si>
    <t>CUSTO UN. FINAL</t>
  </si>
  <si>
    <t>FRETE FINAL</t>
  </si>
  <si>
    <t>ROI</t>
  </si>
  <si>
    <t>FATURAMENTO TOTAL</t>
  </si>
  <si>
    <t>GIRO (d)</t>
  </si>
  <si>
    <t>ROI a.a</t>
  </si>
  <si>
    <t>SELIC 15% a.a ...</t>
  </si>
  <si>
    <t>INVEST. MKT</t>
  </si>
  <si>
    <t>MULTIPLICADOR</t>
  </si>
  <si>
    <t>CUSTO OPERACIONAL</t>
  </si>
  <si>
    <t>MERCADO LIVRE</t>
  </si>
  <si>
    <t>CUSTO FINANCEIRO a.m</t>
  </si>
  <si>
    <t>TAMANHO</t>
  </si>
  <si>
    <t>ETAPA</t>
  </si>
  <si>
    <t>ITEM</t>
  </si>
  <si>
    <t>VALOR</t>
  </si>
  <si>
    <t>OBSERVAÇÕES</t>
  </si>
  <si>
    <t>Peso*</t>
  </si>
  <si>
    <t>R$ 0 a R$ 18,99*</t>
  </si>
  <si>
    <t>R$ 19 a R$ 48,99</t>
  </si>
  <si>
    <t>R$ 49 a R$ 78,99</t>
  </si>
  <si>
    <t>R$ 79 a R$ 99,99</t>
  </si>
  <si>
    <t>R$ 100 a R$ 119,99</t>
  </si>
  <si>
    <t>R$ 120 a R$ 149,99</t>
  </si>
  <si>
    <t>R$ 150 a R$ 199,99</t>
  </si>
  <si>
    <t>A partir de R$ 200</t>
  </si>
  <si>
    <t>Até 0,3 kg</t>
  </si>
  <si>
    <t>De 0,3 a 0,5 kg</t>
  </si>
  <si>
    <t>De 0,5 a 1 kg</t>
  </si>
  <si>
    <t>De 1 a 1,5 kg</t>
  </si>
  <si>
    <t>De 1,5 a 2 kg</t>
  </si>
  <si>
    <t>De 2 a 3 kg</t>
  </si>
  <si>
    <t>De 3 a 4 kg</t>
  </si>
  <si>
    <t>De 4 a 5 kg</t>
  </si>
  <si>
    <t>De 5 a 6 kg</t>
  </si>
  <si>
    <t>De 6 a 7 kg</t>
  </si>
  <si>
    <t>De 7 a 8 kg</t>
  </si>
  <si>
    <t>De 8 a 9 kg</t>
  </si>
  <si>
    <t>De 9 a 11 kg</t>
  </si>
  <si>
    <t>De 11 a 13 kg</t>
  </si>
  <si>
    <t>De 13 a 15 kg</t>
  </si>
  <si>
    <t>De 15 a 17 kg</t>
  </si>
  <si>
    <t>De 17 a 20 kg</t>
  </si>
  <si>
    <t>De 20 a 25 kg</t>
  </si>
  <si>
    <t>De 25 a 30 kg</t>
  </si>
  <si>
    <t>De 30 a 40 kg</t>
  </si>
  <si>
    <t>De 40 a 50 kg</t>
  </si>
  <si>
    <t>De 50 a 60 kg</t>
  </si>
  <si>
    <t>De 60 a 70 kg</t>
  </si>
  <si>
    <t>De 70 a 80 kg</t>
  </si>
  <si>
    <t>De 80 a 90 kg</t>
  </si>
  <si>
    <t>De 90 a 100 kg</t>
  </si>
  <si>
    <t>De 100 a 125 kg</t>
  </si>
  <si>
    <t>De 125 a 150 kg</t>
  </si>
  <si>
    <t>Mais de 150 kg</t>
  </si>
  <si>
    <t>Custos de envio para MercadoLíder, reputação verde ou sem reputação</t>
  </si>
  <si>
    <t>Em anúncios de R$ 19 a R$ 78,99, o Mercado Livre oferece frete grátis padrão.</t>
  </si>
  <si>
    <t>Em anúncios a partir de R$ 79, você oferece frete grátis e rápido.</t>
  </si>
  <si>
    <t>Custos por oferecer frete grátis e rápido para produtos abaixo de R$ 79 (opcional)</t>
  </si>
  <si>
    <t>Peso</t>
  </si>
  <si>
    <t>R$ 0 a R$ 78,99*</t>
  </si>
  <si>
    <t>https://www.mercadolivre.com.br/ajuda/custos-envio-reputacao-verde-mercado-lider_40538</t>
  </si>
  <si>
    <t>FRETE POR CONTA</t>
  </si>
  <si>
    <t>Tamanho do produto</t>
  </si>
  <si>
    <t>Tarifa diária por unidade</t>
  </si>
  <si>
    <t>Pequeno</t>
  </si>
  <si>
    <t>(Até 12 x 15 x 25 cm e peso de até 18 kg.)</t>
  </si>
  <si>
    <t>Ex.: tablet.</t>
  </si>
  <si>
    <t>Médio</t>
  </si>
  <si>
    <t>(Até 28 x 36 x 51 cm e peso de até 18 kg.)</t>
  </si>
  <si>
    <t>Ex.: cafeteira.</t>
  </si>
  <si>
    <t>Grande</t>
  </si>
  <si>
    <t>(Até 60 x 60 x 70 cm e peso de até 18 kg.)</t>
  </si>
  <si>
    <t>Ex.: micro-ondas.</t>
  </si>
  <si>
    <t>Extragrande</t>
  </si>
  <si>
    <t>(Mais de 60 x 60 x 70 cm e/ou peso maior que 18 kg.)</t>
  </si>
  <si>
    <t>Ex.: balde de tinta.</t>
  </si>
  <si>
    <t xml:space="preserve">Custos pelo serviço de armazenamento </t>
  </si>
  <si>
    <t>Tempo de armazenamento</t>
  </si>
  <si>
    <t>Até 4 meses</t>
  </si>
  <si>
    <t>De 4 a 6 meses</t>
  </si>
  <si>
    <t>De 6 a 12 meses</t>
  </si>
  <si>
    <t>Mais de 12 meses</t>
  </si>
  <si>
    <t>Mede até 12 x 15 x 25 cm e pesa até 18 kg</t>
  </si>
  <si>
    <t>Sem custo</t>
  </si>
  <si>
    <t>R$ 1,00 </t>
  </si>
  <si>
    <t>R$ 12,00 </t>
  </si>
  <si>
    <t>R$ 28,00 </t>
  </si>
  <si>
    <t>Mede até 28 x 36 x 51 cm e pesa até 18 kg</t>
  </si>
  <si>
    <t>R$ 2,00 </t>
  </si>
  <si>
    <t>R$ 15,00 </t>
  </si>
  <si>
    <t>R$ 32,00 </t>
  </si>
  <si>
    <t>Mede até 60 x 60 x 70 cm e pesa até 18 kg</t>
  </si>
  <si>
    <t>R$ 6,00 </t>
  </si>
  <si>
    <t>R$ 37,00 </t>
  </si>
  <si>
    <t>R$ 85,00 </t>
  </si>
  <si>
    <t>Mede mais que 60 x 60 x 70 cm e/ou pesa mais que 18 kg</t>
  </si>
  <si>
    <t>R$ 8,00 </t>
  </si>
  <si>
    <t>R$ 47,00 </t>
  </si>
  <si>
    <t>R$ 131,00 </t>
  </si>
  <si>
    <t xml:space="preserve">Custos por estoque antigo no Full </t>
  </si>
  <si>
    <t>TIPO LOGÍSTICA</t>
  </si>
  <si>
    <t>DIFAL</t>
  </si>
  <si>
    <t>ICMS PRÓPRIO</t>
  </si>
  <si>
    <t>ICMS DESTINO</t>
  </si>
  <si>
    <t>Full</t>
  </si>
  <si>
    <t>PESO (Kg) UN.</t>
  </si>
  <si>
    <t>CUSTO UN. ARMAZENAGEM</t>
  </si>
  <si>
    <t>MARGEM LÍQ. %</t>
  </si>
  <si>
    <t>MARGEM BRUTA</t>
  </si>
  <si>
    <t>MARGEM LIQ. ABSOLUTA</t>
  </si>
  <si>
    <t>MARGEM LIQ. ABSOLUTA UN.</t>
  </si>
  <si>
    <t>Volume total do estoque</t>
  </si>
  <si>
    <t>Custo por retirar</t>
  </si>
  <si>
    <t>Custo por descartar </t>
  </si>
  <si>
    <t>Aproveite os descontos em m³ para grandes volumes</t>
  </si>
  <si>
    <t>Até 0,01 m³</t>
  </si>
  <si>
    <t>De 0,01 a 0,025 m³</t>
  </si>
  <si>
    <t>Entre R$ 80 e R$ 201</t>
  </si>
  <si>
    <t>Entre R$ 1 e R$ 2</t>
  </si>
  <si>
    <t>De 0,025 a 0,05 m³</t>
  </si>
  <si>
    <t>Entre R$ 121 e R$ 242</t>
  </si>
  <si>
    <t>Entre R$ 1 e R$ 3</t>
  </si>
  <si>
    <t>De 0,05 a 0,1 m³</t>
  </si>
  <si>
    <t>Entre R$ 185 e R$ 370</t>
  </si>
  <si>
    <t>Entre R$ 2 e R$ 5</t>
  </si>
  <si>
    <t>De 0,1 a 0,25 m³</t>
  </si>
  <si>
    <t>Entre R$ 258 e R$ 645</t>
  </si>
  <si>
    <t>Entre R$ 4 e R$ 9</t>
  </si>
  <si>
    <t>De 0,25 a 0,50 m³</t>
  </si>
  <si>
    <t>Entre R$ 475 e R$ 950</t>
  </si>
  <si>
    <t>Entre R$ 7 e R$ 14</t>
  </si>
  <si>
    <t>De 0,50 a 1 m³</t>
  </si>
  <si>
    <t>Entre R$ 740 e R$ 1.480</t>
  </si>
  <si>
    <t>Entre R$ 12 e R$ 24</t>
  </si>
  <si>
    <t>De 1 a 2 m³</t>
  </si>
  <si>
    <t>Entre R$ 1.300 e R$ 2.600</t>
  </si>
  <si>
    <t>O m³ custa R$ 1.121</t>
  </si>
  <si>
    <t>Entre R$ 18 e R$ 36</t>
  </si>
  <si>
    <t>O m³ custa R$ 18</t>
  </si>
  <si>
    <t>De 2 a 5 m³</t>
  </si>
  <si>
    <t>Entre R$ 2.200 e R$ 5.500</t>
  </si>
  <si>
    <t>O m³ custa R$ 1.020</t>
  </si>
  <si>
    <t>Entre R$ 34 e R$ 85</t>
  </si>
  <si>
    <t>O m³ custa R$ 17</t>
  </si>
  <si>
    <t>De 5 a 10 m³</t>
  </si>
  <si>
    <t>Entre R$ 4.950 e R$ 9.900</t>
  </si>
  <si>
    <t>O m³ custa R$ 910</t>
  </si>
  <si>
    <t>Entre R$ 70 e R$ 140</t>
  </si>
  <si>
    <t>De 10 a 20 m³</t>
  </si>
  <si>
    <t>Entre R$ 8.400 e R$ 16.800</t>
  </si>
  <si>
    <t>O m³ custa R$ 796</t>
  </si>
  <si>
    <t>Entre R$ 140 e R$ 280</t>
  </si>
  <si>
    <t>O m³ custa R$ 14</t>
  </si>
  <si>
    <t>De 20 a 50 m³</t>
  </si>
  <si>
    <t>Entre R$ 13.540 e R$ 33.850</t>
  </si>
  <si>
    <t>O m³ custa R$ 576</t>
  </si>
  <si>
    <t>Entre R$ 120 e R$ 300</t>
  </si>
  <si>
    <t>O m³ custa R$ 6</t>
  </si>
  <si>
    <t>Mais de 50 m³</t>
  </si>
  <si>
    <t>A partir de R$ 29.500</t>
  </si>
  <si>
    <t>O m³ custa R$ 583</t>
  </si>
  <si>
    <t>A partir de R$ 300</t>
  </si>
  <si>
    <t>Custos pelo serviço de retirada ou descarte</t>
  </si>
  <si>
    <t>Cliente</t>
  </si>
  <si>
    <t>CÉLULA AUTOMÁTICA - NÃO ALTERAR</t>
  </si>
  <si>
    <t>COMP. EMB. PRIMÁRIA (cm)</t>
  </si>
  <si>
    <t>LARG. EMB. PRIMÁRIA (cm)</t>
  </si>
  <si>
    <t>ALT. EMB. PRIMÁRIA (cm)</t>
  </si>
  <si>
    <t>Padrão - 2%</t>
  </si>
  <si>
    <t>Frete interno, embalagem e mão de obra, aramazenagem própria - padrão 1%</t>
  </si>
  <si>
    <t>TABELA AUXILIAR - RESOLUÇÃO DE FRETE SEM CIRCULAR</t>
  </si>
  <si>
    <t>Faixa de Preço</t>
  </si>
  <si>
    <t>Limite Inferior</t>
  </si>
  <si>
    <t>Limite Superior</t>
  </si>
  <si>
    <t>Frete (por peso)</t>
  </si>
  <si>
    <t>PV Resultante</t>
  </si>
  <si>
    <t>PV na Faixa?</t>
  </si>
  <si>
    <t>Frete Correto</t>
  </si>
  <si>
    <t>R$ 0 a R$ 18,99</t>
  </si>
  <si>
    <t>Web App Blueprint — Calculadora Mercado Livre</t>
  </si>
  <si>
    <t>Objetivo</t>
  </si>
  <si>
    <t>Transformar a planilha em app web responsivo para precificação, margem e ROI</t>
  </si>
  <si>
    <t>Decisões de compra/anúncio com dados salvos por produto e cenário</t>
  </si>
  <si>
    <t>CALCULADORA!C4:E36</t>
  </si>
  <si>
    <t>Seção</t>
  </si>
  <si>
    <t>Item</t>
  </si>
  <si>
    <t>Especificação</t>
  </si>
  <si>
    <t>Mapeamento / Observação</t>
  </si>
  <si>
    <t>Stack</t>
  </si>
  <si>
    <t>Framework</t>
  </si>
  <si>
    <t>Next.js App Router + TypeScript</t>
  </si>
  <si>
    <t>Full-stack, rotas, server actions/API e deploy simples</t>
  </si>
  <si>
    <t>UI/UX</t>
  </si>
  <si>
    <t>shadcn/ui + Tailwind CSS + lucide-react + Recharts</t>
  </si>
  <si>
    <t>Componentes editáveis, cards, sidebar, charts e data tables</t>
  </si>
  <si>
    <t>Forms/Validação</t>
  </si>
  <si>
    <t>React Hook Form + Zod</t>
  </si>
  <si>
    <t>Inputs com validação, máscaras BRL/%/kg/cm e mensagens claras</t>
  </si>
  <si>
    <t>Dados</t>
  </si>
  <si>
    <t>Prisma ORM + PostgreSQL inicialmente</t>
  </si>
  <si>
    <t>Banco definitivo pode ser trocado depois via repository layer</t>
  </si>
  <si>
    <t>Auth/Futuro</t>
  </si>
  <si>
    <t>NextAuth/Auth.js ou Clerk/Supabase Auth</t>
  </si>
  <si>
    <t>Preparar usuário, empresa e permissões</t>
  </si>
  <si>
    <t>UX</t>
  </si>
  <si>
    <t>Dashboard</t>
  </si>
  <si>
    <t>Cards com PV, margem líquida, ROI, faturamento, investimento ADS e status do frete</t>
  </si>
  <si>
    <t>CALCULADORA!E21:E36</t>
  </si>
  <si>
    <t>Wizard de Produto</t>
  </si>
  <si>
    <t>Produto → Custos → Logística → Comercial → Fiscal/Financeiro → Resultado</t>
  </si>
  <si>
    <t>CALCULADORA!E4:E31</t>
  </si>
  <si>
    <t>Precificador</t>
  </si>
  <si>
    <t>Formulário à esquerda e resultado vivo à direita</t>
  </si>
  <si>
    <t>Atualização dinâmica antes de salvar</t>
  </si>
  <si>
    <t>Cenários</t>
  </si>
  <si>
    <t>Salvar simulações por produto: Conservador/Base/Agressivo</t>
  </si>
  <si>
    <t>Novo conceito: histórico de simulações</t>
  </si>
  <si>
    <t>Tabelas Admin</t>
  </si>
  <si>
    <t>Editar frete, Full, comissões e impostos</t>
  </si>
  <si>
    <t>FRETE!B6:J68; FULL!B2:J33</t>
  </si>
  <si>
    <t>Alertas</t>
  </si>
  <si>
    <t>Badges para frete incompatível, margem baixa, ROI baixo e tarifa vencida</t>
  </si>
  <si>
    <t>Derivado das regras da calculadora</t>
  </si>
  <si>
    <t>Cálculo</t>
  </si>
  <si>
    <t>Preço de Venda</t>
  </si>
  <si>
    <t>PV = (Custo Unitário + Frete + Armazenagem) / (1 - taxas - margem - custo financeiro)</t>
  </si>
  <si>
    <t>CALCULADORA!E22</t>
  </si>
  <si>
    <t>Frete correto</t>
  </si>
  <si>
    <t>Calcular PV por faixa e escolher a primeira faixa válida</t>
  </si>
  <si>
    <t>CALCULADORA!H4:N12</t>
  </si>
  <si>
    <t>Armazenagem Full</t>
  </si>
  <si>
    <t>Se Full, tarifa diária por tamanho × estoque médio × giro / quantidade</t>
  </si>
  <si>
    <t>CALCULADORA!E16; FULL!C5:C14</t>
  </si>
  <si>
    <t>Marketing</t>
  </si>
  <si>
    <t>ROAS vira % da receita via 1 / ROAS; investimento = faturamento × % ADS</t>
  </si>
  <si>
    <t>CALCULADORA!D20:E21</t>
  </si>
  <si>
    <t>Fiscal/Financeiro</t>
  </si>
  <si>
    <t>Impostos simples + DIFAL + custo financeiro composto pelo giro</t>
  </si>
  <si>
    <t>CALCULADORA!E25:E31</t>
  </si>
  <si>
    <t>Outputs</t>
  </si>
  <si>
    <t>Margem bruta, multiplicador, margem líquida, ROI, ROI a.a. e faturamento</t>
  </si>
  <si>
    <t>CALCULADORA!E23:E36</t>
  </si>
  <si>
    <t>Modelo de Dados</t>
  </si>
  <si>
    <t>Product</t>
  </si>
  <si>
    <t>id, orgId, name, sku, weightKg, lengthCm, widthCm, heightCm, active</t>
  </si>
  <si>
    <t>Produto e dimensões</t>
  </si>
  <si>
    <t>PurchaseBatch</t>
  </si>
  <si>
    <t>id, productId, quantity, unitCostWithIpi, taxSubstitution, acquiredAt</t>
  </si>
  <si>
    <t>CALCULADORA!E8:E12</t>
  </si>
  <si>
    <t>PricingScenario</t>
  </si>
  <si>
    <t>id, productId, name, logisticsType, freightPayer, roas, commissionType, taxes, targetMargin, turnoverDays</t>
  </si>
  <si>
    <t>CALCULADORA!E13:E31</t>
  </si>
  <si>
    <t>PricingResult</t>
  </si>
  <si>
    <t>id, scenarioId, salePrice, freightCost, storageCost, grossMargin, netMarginAmount, roi, annualizedRoi, revenueTotal, calculatedAt</t>
  </si>
  <si>
    <t>CALCULADORA!E18:E36</t>
  </si>
  <si>
    <t>FreightRate</t>
  </si>
  <si>
    <t>id, minWeightKg, maxWeightKg, priceBandMin, priceBandMax, standardFreight, fastFreight, effectiveFrom</t>
  </si>
  <si>
    <t>FRETE!B6:J68</t>
  </si>
  <si>
    <t>FullStorageRate</t>
  </si>
  <si>
    <t>id, sizeCategory, dailyUnitRate, staleInventoryFees, withdrawalFee, discardFee, effectiveFrom</t>
  </si>
  <si>
    <t>FULL!B2:J33</t>
  </si>
  <si>
    <t>AuditLog</t>
  </si>
  <si>
    <t>id, entity, entityId, action, beforeJson, afterJson, userId, createdAt</t>
  </si>
  <si>
    <t>Controle de alterações</t>
  </si>
  <si>
    <t>API</t>
  </si>
  <si>
    <t>POST /api/pricing/calculate</t>
  </si>
  <si>
    <t>Recebe inputs temporários e retorna resultado calculado sem persistir</t>
  </si>
  <si>
    <t>Motor de cálculo puro</t>
  </si>
  <si>
    <t>POST /api/products</t>
  </si>
  <si>
    <t>Cria produto</t>
  </si>
  <si>
    <t>CRUD Product</t>
  </si>
  <si>
    <t>POST /api/scenarios</t>
  </si>
  <si>
    <t>Salva cenário de precificação</t>
  </si>
  <si>
    <t>CRUD PricingScenario</t>
  </si>
  <si>
    <t>GET /api/products/:id/results</t>
  </si>
  <si>
    <t>Lista histórico de resultados</t>
  </si>
  <si>
    <t>PUT /api/admin/freight-rates</t>
  </si>
  <si>
    <t>Atualiza tabela de frete por vigência</t>
  </si>
  <si>
    <t>FreightRate + AuditLog</t>
  </si>
  <si>
    <t>PUT /api/admin/full-rates</t>
  </si>
  <si>
    <t>Atualiza tarifas Full por vigência</t>
  </si>
  <si>
    <t>FullStorageRate + AuditLog</t>
  </si>
  <si>
    <t>UI Components</t>
  </si>
  <si>
    <t>App Shell</t>
  </si>
  <si>
    <t>Sidebar + top bar + breadcrumb + command menu</t>
  </si>
  <si>
    <t>shadcn Sidebar, Breadcrumb, Command</t>
  </si>
  <si>
    <t>Forms</t>
  </si>
  <si>
    <t>Cards por seção, Field/Input/Select/Slider/Switch, botão calcular fixo</t>
  </si>
  <si>
    <t>shadcn Card, Field, Input, Select, Slider</t>
  </si>
  <si>
    <t>Resultados</t>
  </si>
  <si>
    <t>Metric cards com variação, badges e tooltip explicativo</t>
  </si>
  <si>
    <t>shadcn Card, Badge, Tooltip</t>
  </si>
  <si>
    <t>Tabelas</t>
  </si>
  <si>
    <t>Data table para tarifas, cenários e histórico</t>
  </si>
  <si>
    <t>shadcn Table/Data Table</t>
  </si>
  <si>
    <t>Charts</t>
  </si>
  <si>
    <t>ROI vs margem, PV por cenário, breakdown de custos</t>
  </si>
  <si>
    <t>Recharts</t>
  </si>
  <si>
    <t>Design System</t>
  </si>
  <si>
    <t>Estilo</t>
  </si>
  <si>
    <t>Visual SaaS premium: slate claro, cards brancos, acento azul/emerald, risco âmbar/vermelho</t>
  </si>
  <si>
    <t>Evitar cara de planilha genérica</t>
  </si>
  <si>
    <t>Tom</t>
  </si>
  <si>
    <t>Labels em português, simples e consultivos, com tooltips curtos</t>
  </si>
  <si>
    <t>Ex.: Margem desejada, Giro do estoque, ROAS esperado</t>
  </si>
  <si>
    <t>Responsivo</t>
  </si>
  <si>
    <t>Desktop com painel lateral; mobile com wizard e resultado sticky</t>
  </si>
  <si>
    <t>Uso em análise rápida de compra</t>
  </si>
  <si>
    <t>Backlog Técnico</t>
  </si>
  <si>
    <t>Fase 1</t>
  </si>
  <si>
    <t>Migrar cálculo para função TypeScript pura + testes unitários comparando com a planilha</t>
  </si>
  <si>
    <t>Alta prioridade</t>
  </si>
  <si>
    <t>Fase 2</t>
  </si>
  <si>
    <t>Construir UI estática com dados mockados e design system</t>
  </si>
  <si>
    <t>Fase 3</t>
  </si>
  <si>
    <t>Adicionar banco, Prisma schema, CRUDs e histórico de simulações</t>
  </si>
  <si>
    <t>Fase 4</t>
  </si>
  <si>
    <t>Criar tela admin para tarifas e importação CSV/Excel</t>
  </si>
  <si>
    <t>Média prioridade</t>
  </si>
  <si>
    <t>Fase 5</t>
  </si>
  <si>
    <t>Auth, multiusuário, permissões por empresa e trilha de auditoria</t>
  </si>
  <si>
    <t>Riscos / Ajustes</t>
  </si>
  <si>
    <t>Revisar regra de classificação, especialmente GRANDE vs EXTRAGRANDE</t>
  </si>
  <si>
    <t>CALCULADORA!E15</t>
  </si>
  <si>
    <t>Premissas zeradas</t>
  </si>
  <si>
    <t>Custo operacional e financeiro têm observações de padrão, mas valores estão zerados</t>
  </si>
  <si>
    <t>CALCULADORA!E13:F13; E29:F29</t>
  </si>
  <si>
    <t>Tarifas Mercado Livre</t>
  </si>
  <si>
    <t>Adicionar vigência e fonte para tarifas; sinalizar quando estiverem vencidas</t>
  </si>
  <si>
    <t>FRETE!B1:J68; FULL!B2:J33</t>
  </si>
  <si>
    <t>Circularidade de frete</t>
  </si>
  <si>
    <t>Manter algoritmo explícito de resolução por faixa, com teste automatizado</t>
  </si>
  <si>
    <t>Definition of Done</t>
  </si>
  <si>
    <t>MVP</t>
  </si>
  <si>
    <t>Cálculo bate com planilha em casos-teste, UI responsiva, dados mockáveis, schema preparado, histórico opcional</t>
  </si>
  <si>
    <t>Checklist de entrega</t>
  </si>
  <si>
    <t>Developer Handoff — Instruções para IA Fullstack</t>
  </si>
  <si>
    <t>Como usar este handoff</t>
  </si>
  <si>
    <t>Leia esta seção junto com o blueprint acima antes de codar</t>
  </si>
  <si>
    <t>A IA/dev deve implementar o MVP seguindo arquitetura, UX, cálculo, dados e testes abaixo</t>
  </si>
  <si>
    <t>Não pule testes de cálculo contra a planilha</t>
  </si>
  <si>
    <t>Bloco</t>
  </si>
  <si>
    <t>Instrução</t>
  </si>
  <si>
    <t>Detalhe de Implementação</t>
  </si>
  <si>
    <t>Critério de Aceite</t>
  </si>
  <si>
    <t>Missão</t>
  </si>
  <si>
    <t>Construir um web app de precificação Mercado Livre baseado na planilha</t>
  </si>
  <si>
    <t>Transformar a lógica de CALCULADORA, FRETE e FULL em aplicação web com UI moderna, dados persistíveis e motor de cálculo testável</t>
  </si>
  <si>
    <t>Usuário consegue calcular preço, salvar produto/cenário e ver resultado confiável</t>
  </si>
  <si>
    <t>Princípio</t>
  </si>
  <si>
    <t>Não tratar a planilha como UI final</t>
  </si>
  <si>
    <t>A planilha é a fonte inicial de regras de negócio; o app deve virar produto SaaS simples, intuitivo e expansível</t>
  </si>
  <si>
    <t>Interface não deve parecer uma tabela Excel copiada</t>
  </si>
  <si>
    <t>Separar cálculo, UI e persistência</t>
  </si>
  <si>
    <t>Motor de cálculo puro em TypeScript; UI consome função/API; banco apenas armazena entradas, tarifas e resultados</t>
  </si>
  <si>
    <t>Cálculo pode rodar em teste unitário sem banco e sem React</t>
  </si>
  <si>
    <t>Preparar dados dinâmicos</t>
  </si>
  <si>
    <t>Tarifas, impostos, comissões, parâmetros de Full e cenários não devem ficar hardcoded na UI</t>
  </si>
  <si>
    <t>Mudanças de tarifa são feitas em tabela/admin ou seed, não no componente</t>
  </si>
  <si>
    <t>Manter auditabilidade</t>
  </si>
  <si>
    <t>Todo resultado deve guardar inputs usados, versão/vigência das tarifas e timestamp</t>
  </si>
  <si>
    <t>Histórico permite explicar por que um PV foi calculado</t>
  </si>
  <si>
    <t>Stack Obrigatória</t>
  </si>
  <si>
    <t>Next.js + TypeScript</t>
  </si>
  <si>
    <t>Usar App Router, TypeScript strict, componentes server/client quando fizer sentido</t>
  </si>
  <si>
    <t>Projeto roda com npm/pnpm dev sem erros de tipo</t>
  </si>
  <si>
    <t>shadcn/ui + Tailwind CSS</t>
  </si>
  <si>
    <t>Usar componentes shadcn para Card, Button, Input, Select, Tabs, Sheet, Dialog, Table, Badge, Tooltip e Form</t>
  </si>
  <si>
    <t>UI consistente, bonita e fácil de ajustar</t>
  </si>
  <si>
    <t>Zod define schemas de formulário e schemas de cálculo; React Hook Form controla inputs</t>
  </si>
  <si>
    <t>Validação clara para BRL, %, kg, cm, dias, ROAS e quantidade</t>
  </si>
  <si>
    <t>Prisma + banco relacional</t>
  </si>
  <si>
    <t>Começar com PostgreSQL ou SQLite para desenvolvimento local; manter Prisma provider fácil de trocar</t>
  </si>
  <si>
    <t>Schema versionado e migrations funcionando</t>
  </si>
  <si>
    <t>Stack Recomendada</t>
  </si>
  <si>
    <t>Usar para breakdown de custos, comparação de cenários e ROI vs margem</t>
  </si>
  <si>
    <t>Gráficos aparecem no dashboard e tela de resultado</t>
  </si>
  <si>
    <t>Arquitetura</t>
  </si>
  <si>
    <t>Camadas sugeridas</t>
  </si>
  <si>
    <t>app/ para rotas; components/ para UI; lib/pricing/ para cálculo; lib/db/ para Prisma; server/actions/ ou app/api para mutações</t>
  </si>
  <si>
    <t>Nenhuma fórmula de negócio fica espalhada em JSX</t>
  </si>
  <si>
    <t>Folder structure</t>
  </si>
  <si>
    <t>app/(dashboard)/dashboard, app/(dashboard)/products, app/(dashboard)/scenarios, app/(dashboard)/admin/rates, lib/pricing, lib/format, prisma, tests</t>
  </si>
  <si>
    <t>Estrutura criada antes de implementar telas</t>
  </si>
  <si>
    <t>Repository layer</t>
  </si>
  <si>
    <t>Criar funções como getFreightRates(), getFullRates(), saveScenario(), savePricingResult(); evitar Prisma direto em componente</t>
  </si>
  <si>
    <t>Troca futura de banco exige alterar menos arquivos</t>
  </si>
  <si>
    <t>Design tokens</t>
  </si>
  <si>
    <t>Centralizar cores, radius, spacing e nomes semânticos no Tailwind/theme</t>
  </si>
  <si>
    <t>Visual ajustável sem refatorar telas</t>
  </si>
  <si>
    <t>Rotas</t>
  </si>
  <si>
    <t>/dashboard</t>
  </si>
  <si>
    <t>Visão geral com cards: produtos, cenários recentes, ROI médio, margem média, alertas de tarifa</t>
  </si>
  <si>
    <t>Cards carregam dados mock/seed no MVP</t>
  </si>
  <si>
    <t>/pricing/new</t>
  </si>
  <si>
    <t>Tela principal de precificação em wizard ou layout split form + live result</t>
  </si>
  <si>
    <t>Calcula sem salvar e permite salvar cenário</t>
  </si>
  <si>
    <t>/products</t>
  </si>
  <si>
    <t>Lista e cadastro de produtos com dimensões, peso e SKU</t>
  </si>
  <si>
    <t>CRUD básico funcionando</t>
  </si>
  <si>
    <t>/products/[id]</t>
  </si>
  <si>
    <t>Detalhe do produto com histórico de cenários e resultados</t>
  </si>
  <si>
    <t>Usuário vê evolução dos preços calculados</t>
  </si>
  <si>
    <t>/scenarios</t>
  </si>
  <si>
    <t>Tabela de cenários salvos com filtros por produto, data, margem, ROI e status</t>
  </si>
  <si>
    <t>Tabela shadcn com ordenação/filtro</t>
  </si>
  <si>
    <t>/admin/rates</t>
  </si>
  <si>
    <t>Admin para tarifas FRETE e FULL com vigência</t>
  </si>
  <si>
    <t>Usuário consegue editar/importar tarifas sem mexer no código</t>
  </si>
  <si>
    <t>Layout principal</t>
  </si>
  <si>
    <t>Sidebar lateral com Dashboard, Precificar, Produtos, Cenários, Tarifas/Admin; topbar com busca e botão Novo Cálculo</t>
  </si>
  <si>
    <t>Navegação clara em desktop</t>
  </si>
  <si>
    <t>Mobile</t>
  </si>
  <si>
    <t>Usar wizard por etapas com resultado sticky no rodapé ou drawer</t>
  </si>
  <si>
    <t>App utilizável no celular durante análise de compra</t>
  </si>
  <si>
    <t>Tela de cálculo</t>
  </si>
  <si>
    <t>Form em cards: Produto, Lote/Custo, Logística, Comercial, Fiscal/Financeiro; resultado em painel fixo</t>
  </si>
  <si>
    <t>Usuário entende quais inputs afetam cada saída</t>
  </si>
  <si>
    <t>Resultado</t>
  </si>
  <si>
    <t>Mostrar PV recomendado, frete final, custo unitário final, armazenagem, margem bruta, margem líquida, ROI, ROI a.a., faturamento e ads</t>
  </si>
  <si>
    <t>Todos outputs da planilha aparecem com label amigável</t>
  </si>
  <si>
    <t>Alertas inteligentes</t>
  </si>
  <si>
    <t>Badges: margem baixa, ROI abaixo da meta, frete pago pelo cliente, frete grátis padrão/rápido, tarifa vencida, regra de tamanho revisar</t>
  </si>
  <si>
    <t>Alertas ajudam decisão, não só cálculo numérico</t>
  </si>
  <si>
    <t>Tooltips</t>
  </si>
  <si>
    <t>Cada campo crítico deve ter tooltip curto explicando origem e impacto</t>
  </si>
  <si>
    <t>Usuário novo entende ROAS, giro, DIFAL, Full e margem</t>
  </si>
  <si>
    <t>Estados vazios</t>
  </si>
  <si>
    <t>Criar empty states com CTA: “Cadastre seu primeiro produto”, “Crie seu primeiro cenário”</t>
  </si>
  <si>
    <t>Sem telas mortas ou genéricas</t>
  </si>
  <si>
    <t>UI Copy</t>
  </si>
  <si>
    <t>Idioma</t>
  </si>
  <si>
    <t>Português do Brasil, tom consultivo e direto</t>
  </si>
  <si>
    <t>Labels claros, sem jargão excessivo</t>
  </si>
  <si>
    <t>Exemplos de labels</t>
  </si>
  <si>
    <t>Preço sugerido, Margem desejada, Giro do estoque, ROAS esperado, Frete por conta, Logística Mercado Livre, Custo unitário com IPI</t>
  </si>
  <si>
    <t>Consistência em todo o app</t>
  </si>
  <si>
    <t>UI Visual</t>
  </si>
  <si>
    <t>SaaS premium: fundo #F8FAFC, cards brancos, texto slate, acentos azul/emerald, alertas amber/red</t>
  </si>
  <si>
    <t>Bonito, limpo, não genérico</t>
  </si>
  <si>
    <t>Componentes</t>
  </si>
  <si>
    <t>Usar cards para grupos, badges para status, progress/stepper para wizard, charts para comparação, table para histórico</t>
  </si>
  <si>
    <t>Visual organizado e modular</t>
  </si>
  <si>
    <t>Entidades mínimas</t>
  </si>
  <si>
    <t>Product, PurchaseBatch, PricingScenario, PricingResult, FreightRate, FullStorageRate, AuditLog, Organization/User futuro</t>
  </si>
  <si>
    <t>Schema Prisma inclui essas tabelas ou equivalentes</t>
  </si>
  <si>
    <t>Campos: id, orgId?, name, sku?, weightKg, lengthCm, widthCm, heightCm, active, createdAt, updatedAt</t>
  </si>
  <si>
    <t>Mapeia peso/dimensões da CALCULADORA</t>
  </si>
  <si>
    <t>Campos: id, productId, quantity, unitCostWithIpi, taxSubstitution, createdAt</t>
  </si>
  <si>
    <t>Mapeia quantidade, custo e ST</t>
  </si>
  <si>
    <t>Campos: productId, batchId?, name, logisticsType, freightPayer, commissionRate, roas, operationalCostRate, simpleTaxRate, ownIcmsRate, destinationIcmsRate, financialCostMonthlyRate, targetNetMarginRate, turnoverDays</t>
  </si>
  <si>
    <t>Mapeia principais inputs comerciais/fiscais</t>
  </si>
  <si>
    <t>Campos: scenarioId, salePrice, freightCost, storageCost, finalUnitCost, grossMarginRate, multiplier, netMarginAmount, netMarginUnitAmount, roi, annualizedRoi, revenueTotal, adsInvestment, statusJson, calculatedAt</t>
  </si>
  <si>
    <t>Armazena outputs e alertas</t>
  </si>
  <si>
    <t>Campos: minWeightKg, maxWeightKg, priceBandMin, priceBandMax, freightCost, freightMode, effectiveFrom, effectiveTo?, sourceUrl?</t>
  </si>
  <si>
    <t>Suporta tabela FRETE dinâmica</t>
  </si>
  <si>
    <t>Campos: sizeCategory, maxLengthCm, maxWidthCm, maxHeightCm, maxWeightKg, dailyUnitRate, withdrawalFee, discardFee, effectiveFrom, effectiveTo?</t>
  </si>
  <si>
    <t>Suporta tabela FULL dinâmica</t>
  </si>
  <si>
    <t>Campos: entity, entityId, action, beforeJson, afterJson, userId?, createdAt</t>
  </si>
  <si>
    <t>Audita mudança de tarifa e premissa</t>
  </si>
  <si>
    <t>Função principal</t>
  </si>
  <si>
    <t>Implementar calculatePricing(input, rates) em lib/pricing/calculate-pricing.ts</t>
  </si>
  <si>
    <t>Retorna objeto PricingResultDraft sem acessar banco</t>
  </si>
  <si>
    <t>Input TypeScript</t>
  </si>
  <si>
    <t>Definir PricingInput com produto, lote, logística, fretePorConta, comissão, ROAS, impostos, margem, financeiro e giro</t>
  </si>
  <si>
    <t>Tipagem cobre todos inputs atuais da planilha</t>
  </si>
  <si>
    <t>Rates TypeScript</t>
  </si>
  <si>
    <t>Definir PricingRates com freightRates e fullStorageRates por vigência</t>
  </si>
  <si>
    <t>Cálculo recebe tarifas como parâmetro</t>
  </si>
  <si>
    <t>Custo total</t>
  </si>
  <si>
    <t>costTotal = unitCostWithIpi * quantity + taxSubstitution</t>
  </si>
  <si>
    <t>Bate com CALCULADORA!E11</t>
  </si>
  <si>
    <t>Custo unitário final</t>
  </si>
  <si>
    <t>finalUnitCost = costTotal / quantity</t>
  </si>
  <si>
    <t>Bate com CALCULADORA!E12</t>
  </si>
  <si>
    <t>Tamanho Full</t>
  </si>
  <si>
    <t>Classificar produto por dimensões/peso com regras de pequeno, médio, grande, extragrande; revisar regra original antes de congelar</t>
  </si>
  <si>
    <t>Teste cobre limites de tamanho</t>
  </si>
  <si>
    <t>Armazenagem</t>
  </si>
  <si>
    <t>Se logisticsType = Full: storageCostUnit = ((quantity / 2) * dailyUnitRate * turnoverDays) / quantity; caso contrário 0</t>
  </si>
  <si>
    <t>Bate com CALCULADORA!E16 quando regras iguais</t>
  </si>
  <si>
    <t>adsRate = 1 / roas; adsInvestment = revenueTotal * adsRate</t>
  </si>
  <si>
    <t>Bate com CALCULADORA!E20:E21</t>
  </si>
  <si>
    <t>difalRate = destinationIcmsRate - ownIcmsRate</t>
  </si>
  <si>
    <t>Bate com CALCULADORA!E28</t>
  </si>
  <si>
    <t>Custo financeiro</t>
  </si>
  <si>
    <t>financialRateForTurnover = (1 + monthlyRate)^(turnoverDays / 30) - 1</t>
  </si>
  <si>
    <t>Bate com fórmula de PV</t>
  </si>
  <si>
    <t>Denominador PV</t>
  </si>
  <si>
    <t>denominator = 1 - (commissionRate + adsRate + simpleTaxRate + targetNetMarginRate + operationalCostRate + difalRate + financialRateForTurnover)</t>
  </si>
  <si>
    <t>Denominador &gt; 0 ou retornar erro amigável</t>
  </si>
  <si>
    <t>Preço por faixa</t>
  </si>
  <si>
    <t>Para cada faixa de preço/frete, calcular pvResult = (finalUnitCost + freightCost + storageCostUnit) / denominator</t>
  </si>
  <si>
    <t>Replica tabela auxiliar H:N</t>
  </si>
  <si>
    <t>Escolher primeira faixa onde pvResult &gt;= priceBandMin e &lt;= priceBandMax; se nenhuma, usar última faixa</t>
  </si>
  <si>
    <t>Bate com CALCULADORA!N5/E18</t>
  </si>
  <si>
    <t>PV final</t>
  </si>
  <si>
    <t>salePrice usa o pvResult da faixa selecionada, não uma fórmula circular</t>
  </si>
  <si>
    <t>Bate com CALCULADORA!E22</t>
  </si>
  <si>
    <t>Outputs finais</t>
  </si>
  <si>
    <t>grossMargin=(salePrice-unitCostWithIpi)/salePrice; multiplier=salePrice/unitCostWithIpi; netMarginAmount=salePrice*targetMargin*quantity; roi=netMarginAmount/costTotal; annualizedRoi=(1+roi)^(365/turnoverDays)-1; revenueTotal=salePrice*quantity</t>
  </si>
  <si>
    <t>Bate com CALCULADORA!E23:E36</t>
  </si>
  <si>
    <t>Status frete</t>
  </si>
  <si>
    <t>Implementar regra textual: abaixo/entre/acima faixas e frete por conta Minha/Cliente, retornando status padronizado</t>
  </si>
  <si>
    <t>Substitui texto CALCULADORA!F18 por status estruturado</t>
  </si>
  <si>
    <t>Validação</t>
  </si>
  <si>
    <t>Números positivos</t>
  </si>
  <si>
    <t>quantity &gt; 0, weightKg &gt; 0, dimensões &gt; 0, unitCostWithIpi &gt;= 0, turnoverDays &gt; 0, roas &gt; 0</t>
  </si>
  <si>
    <t>Form não permite cálculo inválido</t>
  </si>
  <si>
    <t>Percentuais</t>
  </si>
  <si>
    <t>Taxas entre 0 e 1 no motor; UI exibe 0% a 100%</t>
  </si>
  <si>
    <t>Evita confusão entre 6 e 0,06</t>
  </si>
  <si>
    <t>Moeda BRL</t>
  </si>
  <si>
    <t>UI aceita formato brasileiro, mas salva número decimal</t>
  </si>
  <si>
    <t>Sem strings monetárias no banco</t>
  </si>
  <si>
    <t>Body: PricingInput; busca tarifas vigentes; retorna PricingResultDraft + warnings; não salva por padrão</t>
  </si>
  <si>
    <t>Usado no live preview</t>
  </si>
  <si>
    <t>POST /api/pricing/save</t>
  </si>
  <si>
    <t>Body: PricingInput + scenarioName; calcula, salva scenario/result e retorna ids</t>
  </si>
  <si>
    <t>Usado ao clicar Salvar cenário</t>
  </si>
  <si>
    <t>CRUD produtos</t>
  </si>
  <si>
    <t>GET/POST/PUT /api/products e GET /api/products/:id</t>
  </si>
  <si>
    <t>Produtos persistidos</t>
  </si>
  <si>
    <t>CRUD tarifas</t>
  </si>
  <si>
    <t>GET/PUT/POST /api/admin/freight-rates e /full-rates</t>
  </si>
  <si>
    <t>Admin consegue manter tarifas</t>
  </si>
  <si>
    <t>Histórico</t>
  </si>
  <si>
    <t>GET /api/products/:id/results e GET /api/scenarios</t>
  </si>
  <si>
    <t>Histórico filtrável</t>
  </si>
  <si>
    <t>Seed</t>
  </si>
  <si>
    <t>Dados iniciais</t>
  </si>
  <si>
    <t>Criar prisma/seed.ts com tarifas FRETE e FULL extraídas da planilha</t>
  </si>
  <si>
    <t>App funciona sem cadastro manual inicial</t>
  </si>
  <si>
    <t>Produto exemplo</t>
  </si>
  <si>
    <t>Incluir exemplo atual: peso 0,1 kg, 26,6 × 13,1 × 3,6 cm, qtd 350, custo 3,90, ST 36,50</t>
  </si>
  <si>
    <t>Teste visual reproduz caso atual</t>
  </si>
  <si>
    <t>Testes</t>
  </si>
  <si>
    <t>Unitários de cálculo</t>
  </si>
  <si>
    <t>Usar Vitest/Jest; testar caso atual da planilha e pelo menos 5 combinações de faixa de frete</t>
  </si>
  <si>
    <t>PV, frete, ROI e faturamento batem com tolerância pequena</t>
  </si>
  <si>
    <t>Testes de borda</t>
  </si>
  <si>
    <t>Peso na fronteira, preço na fronteira, ROAS inválido, denominador &lt;= 0, logística não Full</t>
  </si>
  <si>
    <t>Sem NaN, Infinity ou crash</t>
  </si>
  <si>
    <t>Testes de UI</t>
  </si>
  <si>
    <t>Testar preenchimento do formulário e cálculo do resultado com Playwright ou Testing Library</t>
  </si>
  <si>
    <t>Fluxo principal funciona</t>
  </si>
  <si>
    <t>Snapshots opcionais</t>
  </si>
  <si>
    <t>Snapshot de PricingResultDraft para regressão</t>
  </si>
  <si>
    <t>Mudança de fórmula fica visível</t>
  </si>
  <si>
    <t>Qualidade</t>
  </si>
  <si>
    <t>TypeScript strict</t>
  </si>
  <si>
    <t>Sem any desnecessário; tipos exportados de lib/pricing/types.ts</t>
  </si>
  <si>
    <t>npm run typecheck passa</t>
  </si>
  <si>
    <t>Lint/format</t>
  </si>
  <si>
    <t>ESLint + Prettier; scripts: lint, format, typecheck, test</t>
  </si>
  <si>
    <t>CI local simples</t>
  </si>
  <si>
    <t>Erros amigáveis</t>
  </si>
  <si>
    <t>Nunca mostrar stack trace ao usuário; retornar mensagens claras de validação/cálculo</t>
  </si>
  <si>
    <t>UX confiável</t>
  </si>
  <si>
    <t>Acessibilidade</t>
  </si>
  <si>
    <t>Labels associados, foco visível, contraste adequado, navegação por teclado</t>
  </si>
  <si>
    <t>Componentes shadcn bem usados</t>
  </si>
  <si>
    <t>Entrega MVP</t>
  </si>
  <si>
    <t>Passo 1</t>
  </si>
  <si>
    <t>Criar projeto Next.js, instalar shadcn/ui, Tailwind, Prisma, Zod, React Hook Form, Recharts e testes</t>
  </si>
  <si>
    <t>Base técnica pronta</t>
  </si>
  <si>
    <t>Passo 2</t>
  </si>
  <si>
    <t>Implementar lib/pricing com types, cálculo e testes contra o caso atual da planilha</t>
  </si>
  <si>
    <t>Motor validado antes da UI</t>
  </si>
  <si>
    <t>Passo 3</t>
  </si>
  <si>
    <t>Criar Prisma schema, seed de tarifas e produto exemplo</t>
  </si>
  <si>
    <t>Banco inicial pronto</t>
  </si>
  <si>
    <t>Passo 4</t>
  </si>
  <si>
    <t>Construir App Shell, Dashboard e /pricing/new com dados mockados primeiro</t>
  </si>
  <si>
    <t>UI visível rapidamente</t>
  </si>
  <si>
    <t>Passo 5</t>
  </si>
  <si>
    <t>Conectar /pricing/new à API calculate e depois ao save</t>
  </si>
  <si>
    <t>Fluxo completo de cálculo/salvamento</t>
  </si>
  <si>
    <t>Passo 6</t>
  </si>
  <si>
    <t>Criar Produtos, Cenários e Admin de Tarifas em CRUD simples</t>
  </si>
  <si>
    <t>MVP operacional</t>
  </si>
  <si>
    <t>Passo 7</t>
  </si>
  <si>
    <t>Polir copy, alertas, responsivo, gráficos e empty states</t>
  </si>
  <si>
    <t>Produto apresentável</t>
  </si>
  <si>
    <t>Definição de Pronto</t>
  </si>
  <si>
    <t>MVP pronto</t>
  </si>
  <si>
    <t>Usuário cadastra produto, preenche cenário, calcula PV, salva resultado, consulta histórico e altera tarifas</t>
  </si>
  <si>
    <t>Fluxo end-to-end validado</t>
  </si>
  <si>
    <t>Cálculo confiável</t>
  </si>
  <si>
    <t>Caso atual da planilha deve gerar aproximadamente PV R$ 22,01, frete R$ 6,55, faturamento R$ 7.704,73, ROI 16%</t>
  </si>
  <si>
    <t>Comparação documentada em teste</t>
  </si>
  <si>
    <t>Dinâmico</t>
  </si>
  <si>
    <t>Nenhuma tarifa crítica fica presa em componente; dados vêm de seed/banco/repository</t>
  </si>
  <si>
    <t>Preparado para banco definido depois</t>
  </si>
  <si>
    <t>Bonito e intuitivo</t>
  </si>
  <si>
    <t>App parece SaaS moderno, com shadcn bem aplicado, labels claros e resultado fácil de interpretar</t>
  </si>
  <si>
    <t>Não parece formulário genérico</t>
  </si>
  <si>
    <t>Prompt para outra IA</t>
  </si>
  <si>
    <t>Instrução inicial</t>
  </si>
  <si>
    <t>Você é uma IA desenvolvedora fullstack sênior. Implemente o app seguindo integralmente WEB_APP_SPEC. Priorize motor de cálculo testado, UI shadcn bonita e arquitetura preparada para banco dinâmico. Não invente regras quando houver mapeamento para planilha; se houver dúvida, crie TODO explícito e teste de regressão.</t>
  </si>
  <si>
    <t>Use este texto como prompt de arranque</t>
  </si>
  <si>
    <t>Restrições</t>
  </si>
  <si>
    <t>Não hardcode tarifas em componentes; não misture fórmula em JSX; não ignore teste contra a planilha; não crie UI genérica; mantenha dados preparados para troca de banco.</t>
  </si>
  <si>
    <t>Restrições seguidas</t>
  </si>
  <si>
    <t>Primeira entrega esperada</t>
  </si>
  <si>
    <t>Entregar estrutura do projeto, Prisma schema, seed inicial, calculatePricing() com testes, e tela /pricing/new funcional com preview do resultado.</t>
  </si>
  <si>
    <t>Primeiro PR/MVP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</si>
</sst>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00;[Red]\-&quot;R$&quot;\ #,##0.0000"/>
    <numFmt numFmtId="165" formatCode="&quot;R$&quot;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1"/>
      <color theme="1"/>
      <name val="Roboto"/>
    </font>
    <font>
      <sz val="11"/>
      <color theme="1"/>
      <name val="Roboto"/>
    </font>
    <font>
      <sz val="10"/>
      <color theme="1"/>
      <name val="Roboto"/>
    </font>
    <font>
      <u/>
      <sz val="11"/>
      <color theme="10"/>
      <name val="Aptos Narrow"/>
      <family val="2"/>
      <scheme val="minor"/>
    </font>
    <font>
      <sz val="11"/>
      <color rgb="FF737373"/>
      <name val="Roboto"/>
    </font>
    <font>
      <b/>
      <sz val="11"/>
      <color rgb="FF737373"/>
      <name val="Roboto"/>
    </font>
    <font>
      <sz val="9"/>
      <color rgb="FF737373"/>
      <name val="Roboto"/>
    </font>
    <font>
      <sz val="9"/>
      <color rgb="FF000000"/>
      <name val="Roboto"/>
    </font>
    <font>
      <b/>
      <sz val="9"/>
      <color rgb="FF000000"/>
      <name val="Roboto"/>
    </font>
    <font>
      <b/>
      <sz val="9"/>
      <color theme="1"/>
      <name val="Roboto"/>
    </font>
    <font>
      <sz val="9"/>
      <color theme="1"/>
      <name val="Roboto"/>
    </font>
    <font>
      <sz val="8"/>
      <color rgb="FF494949"/>
      <name val="Roboto"/>
    </font>
    <font>
      <sz val="9"/>
      <color rgb="FF00A650"/>
      <name val="Roboto"/>
    </font>
    <font>
      <b/>
      <sz val="9"/>
      <color rgb="FF00A650"/>
      <name val="Roboto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"/>
    </font>
    <font>
      <b/>
      <sz val="14"/>
      <color rgb="FFFFFFFF"/>
      <name val="Aptos"/>
    </font>
    <font>
      <b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111827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E5E5E5"/>
      </right>
      <top/>
      <bottom style="medium">
        <color rgb="FFE5E5E5"/>
      </bottom>
      <diagonal/>
    </border>
    <border>
      <left style="medium">
        <color indexed="64"/>
      </left>
      <right style="thick">
        <color rgb="FFCCCCCC"/>
      </right>
      <top style="medium">
        <color indexed="64"/>
      </top>
      <bottom style="medium">
        <color rgb="FFE5E5E5"/>
      </bottom>
      <diagonal/>
    </border>
    <border>
      <left/>
      <right style="medium">
        <color rgb="FFE5E5E5"/>
      </right>
      <top style="medium">
        <color indexed="64"/>
      </top>
      <bottom style="medium">
        <color rgb="FFE5E5E5"/>
      </bottom>
      <diagonal/>
    </border>
    <border>
      <left/>
      <right style="medium">
        <color indexed="64"/>
      </right>
      <top style="medium">
        <color indexed="64"/>
      </top>
      <bottom style="medium">
        <color rgb="FFE5E5E5"/>
      </bottom>
      <diagonal/>
    </border>
    <border>
      <left style="medium">
        <color indexed="64"/>
      </left>
      <right style="thick">
        <color rgb="FFCCCCCC"/>
      </right>
      <top/>
      <bottom style="medium">
        <color rgb="FFE5E5E5"/>
      </bottom>
      <diagonal/>
    </border>
    <border>
      <left/>
      <right style="medium">
        <color indexed="64"/>
      </right>
      <top/>
      <bottom style="medium">
        <color rgb="FFE5E5E5"/>
      </bottom>
      <diagonal/>
    </border>
    <border>
      <left style="medium">
        <color indexed="64"/>
      </left>
      <right style="thick">
        <color rgb="FFCCCCCC"/>
      </right>
      <top/>
      <bottom style="medium">
        <color indexed="64"/>
      </bottom>
      <diagonal/>
    </border>
    <border>
      <left/>
      <right style="medium">
        <color rgb="FFE5E5E5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E5E5E5"/>
      </right>
      <top style="medium">
        <color indexed="64"/>
      </top>
      <bottom style="medium">
        <color rgb="FFE5E5E5"/>
      </bottom>
      <diagonal/>
    </border>
    <border>
      <left style="medium">
        <color rgb="FFE5E5E5"/>
      </left>
      <right style="medium">
        <color indexed="64"/>
      </right>
      <top style="medium">
        <color indexed="64"/>
      </top>
      <bottom style="medium">
        <color rgb="FFE5E5E5"/>
      </bottom>
      <diagonal/>
    </border>
    <border>
      <left style="medium">
        <color indexed="64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medium">
        <color rgb="FFE5E5E5"/>
      </left>
      <right style="medium">
        <color indexed="64"/>
      </right>
      <top style="medium">
        <color rgb="FFE5E5E5"/>
      </top>
      <bottom style="medium">
        <color rgb="FFE5E5E5"/>
      </bottom>
      <diagonal/>
    </border>
    <border>
      <left style="medium">
        <color indexed="64"/>
      </left>
      <right style="medium">
        <color rgb="FFE5E5E5"/>
      </right>
      <top style="medium">
        <color rgb="FFE5E5E5"/>
      </top>
      <bottom style="medium">
        <color indexed="64"/>
      </bottom>
      <diagonal/>
    </border>
    <border>
      <left style="medium">
        <color rgb="FFE5E5E5"/>
      </left>
      <right style="medium">
        <color indexed="64"/>
      </right>
      <top style="medium">
        <color rgb="FFE5E5E5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  <diagonal/>
    </border>
    <border>
      <left style="thin">
        <color rgb="FFA3A3A3"/>
      </left>
      <right style="thin">
        <color rgb="FFA3A3A3"/>
      </right>
      <top style="thin">
        <color rgb="FFA3A3A3"/>
      </top>
      <bottom/>
      <diagonal/>
    </border>
    <border>
      <left style="thin">
        <color rgb="FFA3A3A3"/>
      </left>
      <right style="thin">
        <color rgb="FFA3A3A3"/>
      </right>
      <top/>
      <bottom style="thin">
        <color rgb="FFA3A3A3"/>
      </bottom>
      <diagonal/>
    </border>
    <border>
      <left style="thin">
        <color rgb="FFA3A3A3"/>
      </left>
      <right/>
      <top style="thin">
        <color rgb="FFA3A3A3"/>
      </top>
      <bottom style="thin">
        <color rgb="FFA3A3A3"/>
      </bottom>
      <diagonal/>
    </border>
    <border>
      <left/>
      <right/>
      <top style="thin">
        <color rgb="FFA3A3A3"/>
      </top>
      <bottom style="thin">
        <color rgb="FFA3A3A3"/>
      </bottom>
      <diagonal/>
    </border>
    <border>
      <left/>
      <right style="thin">
        <color rgb="FFA3A3A3"/>
      </right>
      <top style="thin">
        <color rgb="FFA3A3A3"/>
      </top>
      <bottom style="thin">
        <color rgb="FFA3A3A3"/>
      </bottom>
      <diagonal/>
    </border>
    <border>
      <left style="thin">
        <color rgb="FFA3A3A3"/>
      </left>
      <right style="thin">
        <color rgb="FFA3A3A3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44" fontId="0" fillId="0" borderId="0" xfId="0" applyNumberFormat="1" applyAlignment="1">
      <alignment horizontal="left" indent="1"/>
    </xf>
    <xf numFmtId="8" fontId="5" fillId="9" borderId="10" xfId="0" applyNumberFormat="1" applyFont="1" applyFill="1" applyBorder="1" applyAlignment="1">
      <alignment horizontal="right" vertical="center" wrapText="1" indent="1"/>
    </xf>
    <xf numFmtId="8" fontId="5" fillId="11" borderId="10" xfId="0" applyNumberFormat="1" applyFont="1" applyFill="1" applyBorder="1" applyAlignment="1">
      <alignment horizontal="right" vertical="center" wrapText="1" indent="1"/>
    </xf>
    <xf numFmtId="8" fontId="0" fillId="0" borderId="0" xfId="0" applyNumberFormat="1"/>
    <xf numFmtId="0" fontId="2" fillId="0" borderId="0" xfId="0" applyFont="1"/>
    <xf numFmtId="0" fontId="6" fillId="0" borderId="0" xfId="0" applyFont="1" applyAlignment="1">
      <alignment horizontal="left" vertical="center" indent="1"/>
    </xf>
    <xf numFmtId="0" fontId="4" fillId="10" borderId="11" xfId="0" applyFont="1" applyFill="1" applyBorder="1" applyAlignment="1">
      <alignment horizontal="left" vertical="center" indent="1"/>
    </xf>
    <xf numFmtId="0" fontId="4" fillId="10" borderId="12" xfId="0" applyFont="1" applyFill="1" applyBorder="1" applyAlignment="1">
      <alignment horizontal="right" vertical="center" indent="1"/>
    </xf>
    <xf numFmtId="0" fontId="4" fillId="10" borderId="13" xfId="0" applyFont="1" applyFill="1" applyBorder="1" applyAlignment="1">
      <alignment horizontal="right" vertical="center" indent="1"/>
    </xf>
    <xf numFmtId="0" fontId="5" fillId="9" borderId="14" xfId="0" applyFont="1" applyFill="1" applyBorder="1" applyAlignment="1">
      <alignment horizontal="left" vertical="center" indent="1"/>
    </xf>
    <xf numFmtId="8" fontId="5" fillId="9" borderId="15" xfId="0" applyNumberFormat="1" applyFont="1" applyFill="1" applyBorder="1" applyAlignment="1">
      <alignment horizontal="right" vertical="center" wrapText="1" indent="1"/>
    </xf>
    <xf numFmtId="0" fontId="5" fillId="11" borderId="14" xfId="0" applyFont="1" applyFill="1" applyBorder="1" applyAlignment="1">
      <alignment horizontal="left" vertical="center" indent="1"/>
    </xf>
    <xf numFmtId="8" fontId="5" fillId="11" borderId="15" xfId="0" applyNumberFormat="1" applyFont="1" applyFill="1" applyBorder="1" applyAlignment="1">
      <alignment horizontal="right" vertical="center" wrapText="1" indent="1"/>
    </xf>
    <xf numFmtId="0" fontId="5" fillId="9" borderId="16" xfId="0" applyFont="1" applyFill="1" applyBorder="1" applyAlignment="1">
      <alignment horizontal="left" vertical="center" indent="1"/>
    </xf>
    <xf numFmtId="8" fontId="5" fillId="9" borderId="17" xfId="0" applyNumberFormat="1" applyFont="1" applyFill="1" applyBorder="1" applyAlignment="1">
      <alignment horizontal="right" vertical="center" wrapText="1" indent="1"/>
    </xf>
    <xf numFmtId="8" fontId="5" fillId="9" borderId="18" xfId="0" applyNumberFormat="1" applyFont="1" applyFill="1" applyBorder="1" applyAlignment="1">
      <alignment horizontal="right" vertical="center" wrapText="1" indent="1"/>
    </xf>
    <xf numFmtId="0" fontId="4" fillId="10" borderId="19" xfId="0" applyFont="1" applyFill="1" applyBorder="1" applyAlignment="1">
      <alignment horizontal="left" vertical="center" indent="1"/>
    </xf>
    <xf numFmtId="0" fontId="4" fillId="10" borderId="20" xfId="0" applyFont="1" applyFill="1" applyBorder="1" applyAlignment="1">
      <alignment horizontal="right" vertical="center" indent="1"/>
    </xf>
    <xf numFmtId="0" fontId="5" fillId="9" borderId="21" xfId="0" applyFont="1" applyFill="1" applyBorder="1" applyAlignment="1">
      <alignment horizontal="left" vertical="center" indent="1"/>
    </xf>
    <xf numFmtId="8" fontId="5" fillId="9" borderId="22" xfId="0" applyNumberFormat="1" applyFont="1" applyFill="1" applyBorder="1" applyAlignment="1">
      <alignment horizontal="right" vertical="center" wrapText="1" indent="1"/>
    </xf>
    <xf numFmtId="0" fontId="5" fillId="12" borderId="21" xfId="0" applyFont="1" applyFill="1" applyBorder="1" applyAlignment="1">
      <alignment horizontal="left" vertical="center" indent="1"/>
    </xf>
    <xf numFmtId="8" fontId="5" fillId="12" borderId="22" xfId="0" applyNumberFormat="1" applyFont="1" applyFill="1" applyBorder="1" applyAlignment="1">
      <alignment horizontal="right" vertical="center" wrapText="1" indent="1"/>
    </xf>
    <xf numFmtId="0" fontId="5" fillId="9" borderId="23" xfId="0" applyFont="1" applyFill="1" applyBorder="1" applyAlignment="1">
      <alignment horizontal="left" vertical="center" indent="1"/>
    </xf>
    <xf numFmtId="8" fontId="5" fillId="9" borderId="24" xfId="0" applyNumberFormat="1" applyFont="1" applyFill="1" applyBorder="1" applyAlignment="1">
      <alignment horizontal="right" vertical="center" wrapText="1" indent="1"/>
    </xf>
    <xf numFmtId="0" fontId="7" fillId="0" borderId="0" xfId="4"/>
    <xf numFmtId="0" fontId="9" fillId="11" borderId="25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10" fillId="9" borderId="27" xfId="0" applyFont="1" applyFill="1" applyBorder="1" applyAlignment="1">
      <alignment horizontal="center" vertical="center" wrapText="1"/>
    </xf>
    <xf numFmtId="0" fontId="10" fillId="9" borderId="28" xfId="0" applyFont="1" applyFill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12" fillId="9" borderId="30" xfId="0" applyFont="1" applyFill="1" applyBorder="1" applyAlignment="1">
      <alignment horizontal="center" vertical="center" wrapText="1"/>
    </xf>
    <xf numFmtId="0" fontId="11" fillId="9" borderId="35" xfId="0" applyFont="1" applyFill="1" applyBorder="1" applyAlignment="1">
      <alignment horizontal="center" vertical="center" wrapText="1"/>
    </xf>
    <xf numFmtId="0" fontId="15" fillId="9" borderId="31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164" fontId="8" fillId="9" borderId="0" xfId="0" applyNumberFormat="1" applyFont="1" applyFill="1" applyAlignment="1">
      <alignment horizontal="center" vertical="center" wrapText="1"/>
    </xf>
    <xf numFmtId="0" fontId="13" fillId="10" borderId="25" xfId="0" applyFont="1" applyFill="1" applyBorder="1" applyAlignment="1">
      <alignment horizontal="center" vertical="center" wrapText="1"/>
    </xf>
    <xf numFmtId="0" fontId="13" fillId="9" borderId="25" xfId="0" applyFont="1" applyFill="1" applyBorder="1" applyAlignment="1">
      <alignment horizontal="center" vertical="center" wrapText="1"/>
    </xf>
    <xf numFmtId="6" fontId="14" fillId="9" borderId="25" xfId="0" applyNumberFormat="1" applyFont="1" applyFill="1" applyBorder="1" applyAlignment="1">
      <alignment horizontal="center" vertical="center" wrapText="1"/>
    </xf>
    <xf numFmtId="0" fontId="14" fillId="9" borderId="25" xfId="0" applyFont="1" applyFill="1" applyBorder="1" applyAlignment="1">
      <alignment horizontal="center" vertical="center" wrapText="1"/>
    </xf>
    <xf numFmtId="0" fontId="14" fillId="9" borderId="26" xfId="0" applyFont="1" applyFill="1" applyBorder="1" applyAlignment="1">
      <alignment horizontal="center" vertical="center" wrapText="1"/>
    </xf>
    <xf numFmtId="0" fontId="16" fillId="9" borderId="28" xfId="0" applyFont="1" applyFill="1" applyBorder="1" applyAlignment="1">
      <alignment horizontal="center" vertical="center" wrapText="1"/>
    </xf>
    <xf numFmtId="0" fontId="11" fillId="9" borderId="26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Protection="1">
      <protection locked="0"/>
    </xf>
    <xf numFmtId="0" fontId="19" fillId="5" borderId="0" xfId="0" applyFont="1" applyFill="1" applyProtection="1">
      <protection locked="0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Alignment="1" applyProtection="1">
      <alignment horizontal="left" inden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left" indent="1"/>
      <protection locked="0"/>
    </xf>
    <xf numFmtId="0" fontId="21" fillId="8" borderId="38" xfId="0" applyFont="1" applyFill="1" applyBorder="1" applyProtection="1">
      <protection locked="0"/>
    </xf>
    <xf numFmtId="0" fontId="21" fillId="8" borderId="38" xfId="0" applyFont="1" applyFill="1" applyBorder="1" applyAlignment="1" applyProtection="1">
      <alignment horizontal="left"/>
      <protection locked="0"/>
    </xf>
    <xf numFmtId="0" fontId="21" fillId="8" borderId="38" xfId="0" applyFont="1" applyFill="1" applyBorder="1" applyAlignment="1" applyProtection="1">
      <alignment horizontal="left" indent="1"/>
      <protection locked="0"/>
    </xf>
    <xf numFmtId="0" fontId="19" fillId="0" borderId="5" xfId="0" applyFont="1" applyBorder="1" applyProtection="1">
      <protection locked="0"/>
    </xf>
    <xf numFmtId="0" fontId="19" fillId="0" borderId="6" xfId="0" applyFont="1" applyBorder="1" applyAlignment="1" applyProtection="1">
      <alignment horizontal="left" indent="1"/>
      <protection locked="0"/>
    </xf>
    <xf numFmtId="0" fontId="19" fillId="0" borderId="1" xfId="0" applyFont="1" applyBorder="1" applyAlignment="1" applyProtection="1">
      <alignment horizontal="left" indent="1"/>
      <protection locked="0"/>
    </xf>
    <xf numFmtId="0" fontId="19" fillId="0" borderId="8" xfId="0" applyFont="1" applyBorder="1" applyAlignment="1" applyProtection="1">
      <alignment horizontal="left" indent="1"/>
      <protection locked="0"/>
    </xf>
    <xf numFmtId="0" fontId="19" fillId="4" borderId="1" xfId="2" applyNumberFormat="1" applyFont="1" applyFill="1" applyBorder="1" applyProtection="1">
      <protection locked="0"/>
    </xf>
    <xf numFmtId="44" fontId="19" fillId="4" borderId="1" xfId="2" applyFont="1" applyFill="1" applyBorder="1" applyProtection="1">
      <protection locked="0"/>
    </xf>
    <xf numFmtId="9" fontId="19" fillId="4" borderId="39" xfId="2" applyNumberFormat="1" applyFont="1" applyFill="1" applyBorder="1" applyProtection="1">
      <protection locked="0"/>
    </xf>
    <xf numFmtId="0" fontId="19" fillId="0" borderId="40" xfId="0" applyFont="1" applyBorder="1" applyAlignment="1" applyProtection="1">
      <alignment horizontal="left" indent="1"/>
      <protection locked="0"/>
    </xf>
    <xf numFmtId="9" fontId="19" fillId="4" borderId="5" xfId="2" applyNumberFormat="1" applyFont="1" applyFill="1" applyBorder="1" applyProtection="1">
      <protection locked="0"/>
    </xf>
    <xf numFmtId="9" fontId="19" fillId="4" borderId="1" xfId="2" applyNumberFormat="1" applyFont="1" applyFill="1" applyBorder="1" applyProtection="1">
      <protection locked="0"/>
    </xf>
    <xf numFmtId="0" fontId="20" fillId="0" borderId="8" xfId="0" applyFont="1" applyBorder="1" applyAlignment="1" applyProtection="1">
      <alignment horizontal="left" indent="1"/>
      <protection locked="0"/>
    </xf>
    <xf numFmtId="0" fontId="3" fillId="3" borderId="1" xfId="0" applyFont="1" applyFill="1" applyBorder="1" applyProtection="1"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44" fontId="0" fillId="0" borderId="0" xfId="0" applyNumberFormat="1" applyProtection="1">
      <protection locked="0"/>
    </xf>
    <xf numFmtId="10" fontId="19" fillId="4" borderId="1" xfId="0" applyNumberFormat="1" applyFont="1" applyFill="1" applyBorder="1" applyProtection="1">
      <protection locked="0"/>
    </xf>
    <xf numFmtId="10" fontId="20" fillId="7" borderId="1" xfId="0" applyNumberFormat="1" applyFont="1" applyFill="1" applyBorder="1" applyProtection="1">
      <protection locked="0"/>
    </xf>
    <xf numFmtId="0" fontId="2" fillId="14" borderId="0" xfId="0" applyFont="1" applyFill="1"/>
    <xf numFmtId="0" fontId="18" fillId="15" borderId="0" xfId="0" applyFont="1" applyFill="1"/>
    <xf numFmtId="165" fontId="19" fillId="0" borderId="0" xfId="0" applyNumberFormat="1" applyFont="1"/>
    <xf numFmtId="165" fontId="20" fillId="6" borderId="0" xfId="0" applyNumberFormat="1" applyFont="1" applyFill="1"/>
    <xf numFmtId="44" fontId="19" fillId="5" borderId="1" xfId="2" applyFont="1" applyFill="1" applyBorder="1" applyProtection="1"/>
    <xf numFmtId="9" fontId="19" fillId="5" borderId="1" xfId="2" applyNumberFormat="1" applyFont="1" applyFill="1" applyBorder="1" applyProtection="1"/>
    <xf numFmtId="0" fontId="20" fillId="0" borderId="8" xfId="0" applyFont="1" applyBorder="1" applyAlignment="1">
      <alignment horizontal="left" indent="1"/>
    </xf>
    <xf numFmtId="10" fontId="19" fillId="5" borderId="1" xfId="0" applyNumberFormat="1" applyFont="1" applyFill="1" applyBorder="1"/>
    <xf numFmtId="10" fontId="19" fillId="5" borderId="1" xfId="3" applyNumberFormat="1" applyFont="1" applyFill="1" applyBorder="1" applyProtection="1"/>
    <xf numFmtId="44" fontId="19" fillId="5" borderId="39" xfId="2" applyFont="1" applyFill="1" applyBorder="1" applyProtection="1"/>
    <xf numFmtId="0" fontId="20" fillId="5" borderId="40" xfId="0" applyFont="1" applyFill="1" applyBorder="1" applyAlignment="1">
      <alignment horizontal="left" indent="1"/>
    </xf>
    <xf numFmtId="44" fontId="19" fillId="5" borderId="6" xfId="0" applyNumberFormat="1" applyFont="1" applyFill="1" applyBorder="1" applyAlignment="1">
      <alignment horizontal="left" indent="1"/>
    </xf>
    <xf numFmtId="44" fontId="20" fillId="6" borderId="5" xfId="2" applyFont="1" applyFill="1" applyBorder="1" applyProtection="1"/>
    <xf numFmtId="43" fontId="20" fillId="5" borderId="39" xfId="1" applyFont="1" applyFill="1" applyBorder="1" applyProtection="1"/>
    <xf numFmtId="44" fontId="20" fillId="5" borderId="1" xfId="2" applyFont="1" applyFill="1" applyBorder="1" applyProtection="1"/>
    <xf numFmtId="9" fontId="20" fillId="5" borderId="1" xfId="3" applyFont="1" applyFill="1" applyBorder="1" applyProtection="1"/>
    <xf numFmtId="10" fontId="20" fillId="5" borderId="1" xfId="3" applyNumberFormat="1" applyFont="1" applyFill="1" applyBorder="1" applyProtection="1"/>
    <xf numFmtId="44" fontId="20" fillId="5" borderId="39" xfId="2" applyFont="1" applyFill="1" applyBorder="1" applyProtection="1"/>
    <xf numFmtId="10" fontId="19" fillId="4" borderId="5" xfId="0" applyNumberFormat="1" applyFont="1" applyFill="1" applyBorder="1" applyProtection="1">
      <protection locked="0"/>
    </xf>
    <xf numFmtId="0" fontId="3" fillId="3" borderId="1" xfId="0" applyFont="1" applyFill="1" applyBorder="1" applyAlignment="1" applyProtection="1">
      <alignment wrapText="1"/>
      <protection locked="0"/>
    </xf>
    <xf numFmtId="0" fontId="20" fillId="2" borderId="4" xfId="0" applyFont="1" applyFill="1" applyBorder="1" applyAlignment="1" applyProtection="1">
      <alignment horizontal="center" vertical="center"/>
      <protection locked="0"/>
    </xf>
    <xf numFmtId="0" fontId="20" fillId="2" borderId="7" xfId="0" applyFont="1" applyFill="1" applyBorder="1" applyAlignment="1" applyProtection="1">
      <alignment horizontal="center" vertical="center"/>
      <protection locked="0"/>
    </xf>
    <xf numFmtId="0" fontId="20" fillId="2" borderId="9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horizontal="left" wrapText="1"/>
      <protection locked="0"/>
    </xf>
    <xf numFmtId="0" fontId="3" fillId="3" borderId="5" xfId="0" applyFont="1" applyFill="1" applyBorder="1" applyAlignment="1" applyProtection="1">
      <alignment horizontal="left" wrapText="1"/>
      <protection locked="0"/>
    </xf>
    <xf numFmtId="0" fontId="3" fillId="3" borderId="5" xfId="0" applyFont="1" applyFill="1" applyBorder="1" applyAlignment="1" applyProtection="1">
      <alignment wrapText="1"/>
      <protection locked="0"/>
    </xf>
    <xf numFmtId="0" fontId="3" fillId="3" borderId="39" xfId="0" applyFont="1" applyFill="1" applyBorder="1" applyAlignment="1" applyProtection="1">
      <alignment wrapText="1"/>
      <protection locked="0"/>
    </xf>
    <xf numFmtId="0" fontId="3" fillId="3" borderId="2" xfId="0" applyFont="1" applyFill="1" applyBorder="1" applyAlignment="1" applyProtection="1">
      <alignment horizontal="left" wrapText="1"/>
      <protection locked="0"/>
    </xf>
    <xf numFmtId="0" fontId="3" fillId="3" borderId="3" xfId="0" applyFont="1" applyFill="1" applyBorder="1" applyAlignment="1" applyProtection="1">
      <alignment horizontal="left" wrapText="1"/>
      <protection locked="0"/>
    </xf>
    <xf numFmtId="0" fontId="3" fillId="3" borderId="39" xfId="0" applyFont="1" applyFill="1" applyBorder="1" applyAlignment="1" applyProtection="1">
      <alignment horizontal="left" wrapText="1"/>
      <protection locked="0"/>
    </xf>
    <xf numFmtId="0" fontId="13" fillId="9" borderId="26" xfId="0" applyFont="1" applyFill="1" applyBorder="1" applyAlignment="1">
      <alignment horizontal="center" vertical="center" wrapText="1"/>
    </xf>
    <xf numFmtId="0" fontId="13" fillId="9" borderId="28" xfId="0" applyFont="1" applyFill="1" applyBorder="1" applyAlignment="1">
      <alignment horizontal="center" vertical="center" wrapText="1"/>
    </xf>
    <xf numFmtId="0" fontId="13" fillId="10" borderId="26" xfId="0" applyFont="1" applyFill="1" applyBorder="1" applyAlignment="1">
      <alignment horizontal="center" vertical="center" wrapText="1"/>
    </xf>
    <xf numFmtId="0" fontId="13" fillId="10" borderId="28" xfId="0" applyFont="1" applyFill="1" applyBorder="1" applyAlignment="1">
      <alignment horizontal="center" vertical="center" wrapText="1"/>
    </xf>
    <xf numFmtId="0" fontId="17" fillId="10" borderId="3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6" fillId="9" borderId="30" xfId="0" applyFont="1" applyFill="1" applyBorder="1" applyAlignment="1">
      <alignment horizontal="center" vertical="center" wrapText="1"/>
    </xf>
    <xf numFmtId="0" fontId="16" fillId="9" borderId="35" xfId="0" applyFont="1" applyFill="1" applyBorder="1" applyAlignment="1">
      <alignment horizontal="center" vertical="center" wrapText="1"/>
    </xf>
    <xf numFmtId="0" fontId="16" fillId="9" borderId="31" xfId="0" applyFont="1" applyFill="1" applyBorder="1" applyAlignment="1">
      <alignment horizontal="center" vertical="center" wrapText="1"/>
    </xf>
    <xf numFmtId="0" fontId="14" fillId="9" borderId="30" xfId="0" applyFont="1" applyFill="1" applyBorder="1" applyAlignment="1">
      <alignment horizontal="center" vertical="center" wrapText="1"/>
    </xf>
    <xf numFmtId="0" fontId="14" fillId="9" borderId="35" xfId="0" applyFont="1" applyFill="1" applyBorder="1" applyAlignment="1">
      <alignment horizontal="center" vertical="center" wrapText="1"/>
    </xf>
    <xf numFmtId="0" fontId="14" fillId="9" borderId="31" xfId="0" applyFont="1" applyFill="1" applyBorder="1" applyAlignment="1">
      <alignment horizontal="center" vertical="center" wrapText="1"/>
    </xf>
    <xf numFmtId="164" fontId="8" fillId="9" borderId="26" xfId="0" applyNumberFormat="1" applyFont="1" applyFill="1" applyBorder="1" applyAlignment="1">
      <alignment horizontal="center" vertical="center" wrapText="1"/>
    </xf>
    <xf numFmtId="164" fontId="8" fillId="9" borderId="27" xfId="0" applyNumberFormat="1" applyFont="1" applyFill="1" applyBorder="1" applyAlignment="1">
      <alignment horizontal="center" vertical="center" wrapText="1"/>
    </xf>
    <xf numFmtId="164" fontId="8" fillId="9" borderId="28" xfId="0" applyNumberFormat="1" applyFont="1" applyFill="1" applyBorder="1" applyAlignment="1">
      <alignment horizontal="center" vertical="center" wrapText="1"/>
    </xf>
    <xf numFmtId="0" fontId="12" fillId="10" borderId="30" xfId="0" applyFont="1" applyFill="1" applyBorder="1" applyAlignment="1">
      <alignment horizontal="center" vertical="center" wrapText="1"/>
    </xf>
    <xf numFmtId="0" fontId="12" fillId="10" borderId="31" xfId="0" applyFont="1" applyFill="1" applyBorder="1" applyAlignment="1">
      <alignment horizontal="center" vertical="center" wrapText="1"/>
    </xf>
    <xf numFmtId="0" fontId="13" fillId="13" borderId="32" xfId="0" applyFont="1" applyFill="1" applyBorder="1" applyAlignment="1">
      <alignment horizontal="center" vertical="center" wrapText="1"/>
    </xf>
    <xf numFmtId="0" fontId="13" fillId="13" borderId="33" xfId="0" applyFont="1" applyFill="1" applyBorder="1" applyAlignment="1">
      <alignment horizontal="center" vertical="center" wrapText="1"/>
    </xf>
    <xf numFmtId="0" fontId="13" fillId="13" borderId="34" xfId="0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23" fillId="16" borderId="0" xfId="0" applyFont="1" applyFill="1" applyAlignment="1">
      <alignment wrapText="1"/>
    </xf>
    <xf numFmtId="0" fontId="24" fillId="17" borderId="0" xfId="0" applyFont="1" applyFill="1" applyAlignment="1">
      <alignment wrapText="1"/>
    </xf>
    <xf numFmtId="0" fontId="23" fillId="18" borderId="41" xfId="0" applyFont="1" applyFill="1" applyBorder="1" applyAlignment="1">
      <alignment wrapText="1"/>
    </xf>
    <xf numFmtId="0" fontId="22" fillId="0" borderId="42" xfId="0" applyFont="1" applyBorder="1" applyAlignment="1">
      <alignment wrapText="1"/>
    </xf>
    <xf numFmtId="0" fontId="24" fillId="17" borderId="42" xfId="0" applyFont="1" applyFill="1" applyBorder="1" applyAlignment="1">
      <alignment wrapText="1"/>
    </xf>
    <xf numFmtId="0" fontId="22" fillId="0" borderId="43" xfId="0" applyFont="1" applyBorder="1" applyAlignment="1">
      <alignment wrapText="1"/>
    </xf>
  </cellXfs>
  <cellStyles count="5">
    <cellStyle name="Hiperlink" xfId="4" builtinId="8"/>
    <cellStyle name="Moeda" xfId="2" builtinId="4"/>
    <cellStyle name="Normal" xfId="0" builtinId="0"/>
    <cellStyle name="Porcentagem" xfId="3" builtinId="5"/>
    <cellStyle name="Vírgula" xfId="1" builtinId="3"/>
  </cellStyles>
  <dxfs count="3">
    <dxf>
      <font>
        <b/>
        <i val="0"/>
        <color rgb="FF00B050"/>
      </font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434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179B0D6-C7A2-4553-BF7D-B392383738B3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4718CC5-783C-4443-B815-4E3EF82F2389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vre.com.br/ajuda/custos-envio-reputacao-verde-mercado-lider_405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618C-AF28-4672-A4F2-FE7F962299A2}">
  <dimension ref="A1:O48"/>
  <sheetViews>
    <sheetView showGridLines="0" zoomScale="90" zoomScaleNormal="90" workbookViewId="0">
      <selection activeCell="E30" sqref="E30"/>
    </sheetView>
  </sheetViews>
  <sheetFormatPr defaultRowHeight="15" outlineLevelCol="1" x14ac:dyDescent="0.25"/>
  <cols>
    <col min="1" max="1" width="3.7109375" customWidth="1"/>
    <col min="2" max="2" width="19.7109375" bestFit="1" customWidth="1"/>
    <col min="3" max="3" width="21" style="1" customWidth="1"/>
    <col min="4" max="4" width="4.85546875" customWidth="1"/>
    <col min="5" max="5" width="16.7109375" customWidth="1"/>
    <col min="6" max="6" width="91" style="2" bestFit="1" customWidth="1"/>
    <col min="7" max="7" width="2.42578125" customWidth="1"/>
    <col min="8" max="8" width="17.28515625" customWidth="1" outlineLevel="1"/>
    <col min="9" max="9" width="12.140625" bestFit="1" customWidth="1" outlineLevel="1"/>
    <col min="10" max="10" width="13" bestFit="1" customWidth="1" outlineLevel="1"/>
    <col min="11" max="11" width="13.42578125" bestFit="1" customWidth="1" outlineLevel="1"/>
    <col min="12" max="12" width="12.140625" bestFit="1" customWidth="1" outlineLevel="1"/>
    <col min="13" max="13" width="11" bestFit="1" customWidth="1" outlineLevel="1"/>
    <col min="14" max="14" width="11.5703125" bestFit="1" customWidth="1"/>
  </cols>
  <sheetData>
    <row r="1" spans="1:15" s="46" customFormat="1" ht="13.5" x14ac:dyDescent="0.25">
      <c r="A1" s="47"/>
      <c r="B1" s="48"/>
      <c r="C1" s="49" t="s">
        <v>176</v>
      </c>
      <c r="D1" s="47"/>
      <c r="E1" s="47"/>
      <c r="F1" s="50"/>
      <c r="G1" s="47"/>
      <c r="H1" s="47"/>
      <c r="I1" s="47"/>
      <c r="J1" s="47"/>
      <c r="K1" s="47"/>
      <c r="L1" s="47"/>
      <c r="M1" s="47"/>
      <c r="N1" s="47"/>
      <c r="O1" s="47"/>
    </row>
    <row r="2" spans="1:15" ht="9" customHeight="1" x14ac:dyDescent="0.25">
      <c r="A2" s="51"/>
      <c r="B2" s="51"/>
      <c r="C2" s="52"/>
      <c r="D2" s="51"/>
      <c r="E2" s="51"/>
      <c r="F2" s="53"/>
      <c r="G2" s="51"/>
      <c r="H2" s="51"/>
      <c r="I2" s="51"/>
      <c r="J2" s="51"/>
      <c r="K2" s="51"/>
      <c r="L2" s="51"/>
      <c r="M2" s="51"/>
      <c r="N2" s="51"/>
      <c r="O2" s="51"/>
    </row>
    <row r="3" spans="1:15" ht="15.75" thickBot="1" x14ac:dyDescent="0.3">
      <c r="A3" s="51"/>
      <c r="B3" s="54" t="s">
        <v>24</v>
      </c>
      <c r="C3" s="55" t="s">
        <v>25</v>
      </c>
      <c r="D3" s="54"/>
      <c r="E3" s="54" t="s">
        <v>26</v>
      </c>
      <c r="F3" s="56" t="s">
        <v>27</v>
      </c>
      <c r="G3" s="51"/>
      <c r="H3" s="73" t="s">
        <v>182</v>
      </c>
      <c r="O3" s="51"/>
    </row>
    <row r="4" spans="1:15" ht="15.75" customHeight="1" x14ac:dyDescent="0.25">
      <c r="A4" s="51"/>
      <c r="B4" s="93" t="s">
        <v>5</v>
      </c>
      <c r="C4" s="99" t="s">
        <v>117</v>
      </c>
      <c r="D4" s="99"/>
      <c r="E4" s="57">
        <v>0.1</v>
      </c>
      <c r="F4" s="58"/>
      <c r="G4" s="51"/>
      <c r="H4" s="74" t="s">
        <v>183</v>
      </c>
      <c r="I4" s="74" t="s">
        <v>184</v>
      </c>
      <c r="J4" s="74" t="s">
        <v>185</v>
      </c>
      <c r="K4" s="74" t="s">
        <v>186</v>
      </c>
      <c r="L4" s="74" t="s">
        <v>187</v>
      </c>
      <c r="M4" s="74" t="s">
        <v>188</v>
      </c>
      <c r="N4" s="74" t="s">
        <v>189</v>
      </c>
      <c r="O4" s="51"/>
    </row>
    <row r="5" spans="1:15" ht="15.75" customHeight="1" x14ac:dyDescent="0.25">
      <c r="A5" s="51"/>
      <c r="B5" s="94"/>
      <c r="C5" s="97" t="s">
        <v>177</v>
      </c>
      <c r="D5" s="97"/>
      <c r="E5" s="59">
        <v>26.6</v>
      </c>
      <c r="F5" s="60"/>
      <c r="G5" s="51"/>
      <c r="H5" s="46" t="s">
        <v>190</v>
      </c>
      <c r="I5" s="75">
        <v>0</v>
      </c>
      <c r="J5" s="75">
        <v>18.989999999999998</v>
      </c>
      <c r="K5" s="75">
        <f>IF($E$17="Minha",INDEX(FRETE!C40:C68,MATCH($E$4,{0,0.3,0.5,1,1.5,2,3,4,5,6,7,8,9,11,13,15,17,20,25,30,40,50,60,70,80,90,100,125,150},1)),INDEX(FRETE!C7:C35,MATCH($E$4,{0,0.3,0.5,1,1.5,2,3,4,5,6,7,8,9,11,13,15,17,20,25,30,40,50,60,70,80,90,100,125,150},1)))</f>
        <v>5.65</v>
      </c>
      <c r="L5" s="75">
        <f>SUM($E$12,K5,$E$16)/(1-(SUM($E$19,$E$20,$E$25,$E$30,$E$13,$E$28,((1+$E$29)^($E$31/30))-1)))</f>
        <v>20.213100975008405</v>
      </c>
      <c r="M5" s="46" t="str">
        <f>IF(AND(L5&gt;=I5,L5&lt;=J5),"SIM","NÃO")</f>
        <v>NÃO</v>
      </c>
      <c r="N5" s="76">
        <f>IFERROR(INDEX(K5:K12,MATCH("SIM",M5:M12,0)),K12)</f>
        <v>6.55</v>
      </c>
      <c r="O5" s="51"/>
    </row>
    <row r="6" spans="1:15" ht="15.75" customHeight="1" x14ac:dyDescent="0.25">
      <c r="A6" s="51"/>
      <c r="B6" s="94"/>
      <c r="C6" s="97" t="s">
        <v>178</v>
      </c>
      <c r="D6" s="97"/>
      <c r="E6" s="59">
        <v>13.1</v>
      </c>
      <c r="F6" s="60"/>
      <c r="G6" s="51"/>
      <c r="H6" s="46" t="s">
        <v>30</v>
      </c>
      <c r="I6" s="75">
        <v>19</v>
      </c>
      <c r="J6" s="75">
        <v>48.99</v>
      </c>
      <c r="K6" s="75">
        <f>IF($E$17="Minha",INDEX(FRETE!C40:C68,MATCH($E$4,{0,0.3,0.5,1,1.5,2,3,4,5,6,7,8,9,11,13,15,17,20,25,30,40,50,60,70,80,90,100,125,150},1)),INDEX(FRETE!D7:D35,MATCH($E$4,{0,0.3,0.5,1,1.5,2,3,4,5,6,7,8,9,11,13,15,17,20,25,30,40,50,60,70,80,90,100,125,150},1)))</f>
        <v>6.55</v>
      </c>
      <c r="L6" s="75">
        <f t="shared" ref="L6:L12" si="0">SUM($E$12,K6,$E$16)/(1-(SUM($E$19,$E$20,$E$25,$E$30,$E$13,$E$28,((1+$E$29)^($E$31/30))-1)))</f>
        <v>22.013504426762299</v>
      </c>
      <c r="M6" s="46" t="str">
        <f t="shared" ref="M6:M12" si="1">IF(AND(L6&gt;=I6,L6&lt;=J6),"SIM","NÃO")</f>
        <v>SIM</v>
      </c>
      <c r="O6" s="51"/>
    </row>
    <row r="7" spans="1:15" ht="15.75" customHeight="1" x14ac:dyDescent="0.25">
      <c r="A7" s="51"/>
      <c r="B7" s="94"/>
      <c r="C7" s="97" t="s">
        <v>179</v>
      </c>
      <c r="D7" s="97"/>
      <c r="E7" s="59">
        <v>3.6</v>
      </c>
      <c r="F7" s="60"/>
      <c r="G7" s="51"/>
      <c r="H7" s="46" t="s">
        <v>31</v>
      </c>
      <c r="I7" s="75">
        <v>49</v>
      </c>
      <c r="J7" s="75">
        <v>78.989999999999995</v>
      </c>
      <c r="K7" s="75">
        <f>IF($E$17="Minha",INDEX(FRETE!C40:C68,MATCH($E$4,{0,0.3,0.5,1,1.5,2,3,4,5,6,7,8,9,11,13,15,17,20,25,30,40,50,60,70,80,90,100,125,150},1)),INDEX(FRETE!E7:E35,MATCH($E$4,{0,0.3,0.5,1,1.5,2,3,4,5,6,7,8,9,11,13,15,17,20,25,30,40,50,60,70,80,90,100,125,150},1)))</f>
        <v>7.75</v>
      </c>
      <c r="L7" s="75">
        <f t="shared" si="0"/>
        <v>24.414042362434156</v>
      </c>
      <c r="M7" s="46" t="str">
        <f t="shared" si="1"/>
        <v>NÃO</v>
      </c>
      <c r="O7" s="51"/>
    </row>
    <row r="8" spans="1:15" ht="15.75" customHeight="1" x14ac:dyDescent="0.25">
      <c r="A8" s="51"/>
      <c r="B8" s="94"/>
      <c r="C8" s="92" t="s">
        <v>4</v>
      </c>
      <c r="D8" s="92"/>
      <c r="E8" s="61">
        <v>350</v>
      </c>
      <c r="F8" s="60"/>
      <c r="G8" s="51"/>
      <c r="H8" s="46" t="s">
        <v>32</v>
      </c>
      <c r="I8" s="75">
        <v>79</v>
      </c>
      <c r="J8" s="75">
        <v>99.99</v>
      </c>
      <c r="K8" s="75">
        <f>INDEX(FRETE!F7:F35,MATCH(E4,{0,0.3,0.5,1,1.5,2,3,4,5,6,7,8,9,11,13,15,17,20,25,30,40,50,60,70,80,90,100,125,150},1))</f>
        <v>12.35</v>
      </c>
      <c r="L8" s="75">
        <f t="shared" si="0"/>
        <v>33.616104449176284</v>
      </c>
      <c r="M8" s="46" t="str">
        <f t="shared" si="1"/>
        <v>NÃO</v>
      </c>
      <c r="O8" s="51"/>
    </row>
    <row r="9" spans="1:15" ht="15.75" customHeight="1" x14ac:dyDescent="0.25">
      <c r="A9" s="51"/>
      <c r="B9" s="94"/>
      <c r="C9" s="92" t="s">
        <v>9</v>
      </c>
      <c r="D9" s="92"/>
      <c r="E9" s="62">
        <v>3.9</v>
      </c>
      <c r="F9" s="60"/>
      <c r="G9" s="51"/>
      <c r="H9" s="46" t="s">
        <v>33</v>
      </c>
      <c r="I9" s="75">
        <v>100</v>
      </c>
      <c r="J9" s="75">
        <v>119.99</v>
      </c>
      <c r="K9" s="75">
        <f>INDEX(FRETE!G7:G35,MATCH(E4,{0,0.3,0.5,1,1.5,2,3,4,5,6,7,8,9,11,13,15,17,20,25,30,40,50,60,70,80,90,100,125,150},1))</f>
        <v>14.35</v>
      </c>
      <c r="L9" s="75">
        <f t="shared" si="0"/>
        <v>37.617001008629387</v>
      </c>
      <c r="M9" s="46" t="str">
        <f t="shared" si="1"/>
        <v>NÃO</v>
      </c>
      <c r="O9" s="51"/>
    </row>
    <row r="10" spans="1:15" ht="15.75" customHeight="1" x14ac:dyDescent="0.25">
      <c r="A10" s="51"/>
      <c r="B10" s="94"/>
      <c r="C10" s="97" t="s">
        <v>10</v>
      </c>
      <c r="D10" s="97"/>
      <c r="E10" s="62">
        <v>36.5</v>
      </c>
      <c r="F10" s="60"/>
      <c r="G10" s="51"/>
      <c r="H10" s="46" t="s">
        <v>34</v>
      </c>
      <c r="I10" s="75">
        <v>120</v>
      </c>
      <c r="J10" s="75">
        <v>149.99</v>
      </c>
      <c r="K10" s="75">
        <f>INDEX(FRETE!H7:H35,MATCH(E4,{0,0.3,0.5,1,1.5,2,3,4,5,6,7,8,9,11,13,15,17,20,25,30,40,50,60,70,80,90,100,125,150},1))</f>
        <v>16.45</v>
      </c>
      <c r="L10" s="75">
        <f t="shared" si="0"/>
        <v>41.817942396055138</v>
      </c>
      <c r="M10" s="46" t="str">
        <f t="shared" si="1"/>
        <v>NÃO</v>
      </c>
      <c r="O10" s="51"/>
    </row>
    <row r="11" spans="1:15" ht="15.75" customHeight="1" x14ac:dyDescent="0.25">
      <c r="A11" s="51"/>
      <c r="B11" s="94"/>
      <c r="C11" s="92" t="s">
        <v>8</v>
      </c>
      <c r="D11" s="92"/>
      <c r="E11" s="77">
        <f>(E9*E8)+E10</f>
        <v>1401.5</v>
      </c>
      <c r="F11" s="60"/>
      <c r="G11" s="51"/>
      <c r="H11" s="46" t="s">
        <v>35</v>
      </c>
      <c r="I11" s="75">
        <v>150</v>
      </c>
      <c r="J11" s="75">
        <v>199.99</v>
      </c>
      <c r="K11" s="75">
        <f>INDEX(FRETE!I7:I35,MATCH(E4,{0,0.3,0.5,1,1.5,2,3,4,5,6,7,8,9,11,13,15,17,20,25,30,40,50,60,70,80,90,100,125,150},1))</f>
        <v>18.45</v>
      </c>
      <c r="L11" s="75">
        <f t="shared" si="0"/>
        <v>45.818838955508234</v>
      </c>
      <c r="M11" s="46" t="str">
        <f t="shared" si="1"/>
        <v>NÃO</v>
      </c>
      <c r="O11" s="51"/>
    </row>
    <row r="12" spans="1:15" ht="15.75" customHeight="1" x14ac:dyDescent="0.25">
      <c r="A12" s="51"/>
      <c r="B12" s="94"/>
      <c r="C12" s="92" t="s">
        <v>11</v>
      </c>
      <c r="D12" s="92"/>
      <c r="E12" s="77">
        <f>E11/E8</f>
        <v>4.0042857142857144</v>
      </c>
      <c r="F12" s="60"/>
      <c r="G12" s="51"/>
      <c r="H12" s="46" t="s">
        <v>36</v>
      </c>
      <c r="I12" s="75">
        <v>200</v>
      </c>
      <c r="J12" s="75">
        <v>99999</v>
      </c>
      <c r="K12" s="75">
        <f>INDEX(FRETE!J7:J35,MATCH(E4,{0,0.3,0.5,1,1.5,2,3,4,5,6,7,8,9,11,13,15,17,20,25,30,40,50,60,70,80,90,100,125,150},1))</f>
        <v>20.95</v>
      </c>
      <c r="L12" s="75">
        <f t="shared" si="0"/>
        <v>50.819959654824608</v>
      </c>
      <c r="M12" s="46" t="str">
        <f t="shared" si="1"/>
        <v>NÃO</v>
      </c>
      <c r="O12" s="51"/>
    </row>
    <row r="13" spans="1:15" ht="15.75" customHeight="1" thickBot="1" x14ac:dyDescent="0.3">
      <c r="A13" s="51"/>
      <c r="B13" s="95"/>
      <c r="C13" s="103" t="s">
        <v>20</v>
      </c>
      <c r="D13" s="103"/>
      <c r="E13" s="63">
        <v>0</v>
      </c>
      <c r="F13" s="64" t="s">
        <v>181</v>
      </c>
      <c r="G13" s="51"/>
      <c r="O13" s="51"/>
    </row>
    <row r="14" spans="1:15" ht="15.75" customHeight="1" x14ac:dyDescent="0.25">
      <c r="A14" s="51"/>
      <c r="B14" s="93" t="s">
        <v>21</v>
      </c>
      <c r="C14" s="98" t="s">
        <v>112</v>
      </c>
      <c r="D14" s="98"/>
      <c r="E14" s="65" t="s">
        <v>116</v>
      </c>
      <c r="F14" s="58"/>
      <c r="G14" s="51"/>
      <c r="H14" s="51"/>
      <c r="I14" s="51"/>
      <c r="J14" s="51"/>
      <c r="K14" s="51"/>
      <c r="L14" s="51"/>
      <c r="M14" s="51"/>
      <c r="N14" s="51"/>
      <c r="O14" s="51"/>
    </row>
    <row r="15" spans="1:15" ht="15.75" customHeight="1" x14ac:dyDescent="0.25">
      <c r="A15" s="51"/>
      <c r="B15" s="94"/>
      <c r="C15" s="97" t="s">
        <v>23</v>
      </c>
      <c r="D15" s="97"/>
      <c r="E15" s="78" t="str">
        <f>IF(AND(E5&lt;=25,E6&lt;=15,E7&lt;=12,E4&lt;=18),"PEQUENO",IF(AND(E5&lt;=51,E6&lt;=36,E7&lt;=28,E4&lt;=18),"MÉDIO",IF(AND(E5&lt;=7,E6&lt;=6,E7&lt;=6,E4&lt;=18),"GRANDE","EXTRAGRANDE")))</f>
        <v>MÉDIO</v>
      </c>
      <c r="F15" s="60"/>
      <c r="G15" s="51"/>
      <c r="H15" s="51"/>
      <c r="I15" s="51"/>
      <c r="J15" s="51"/>
      <c r="K15" s="51"/>
      <c r="L15" s="51"/>
      <c r="M15" s="51"/>
      <c r="N15" s="51"/>
      <c r="O15" s="51"/>
    </row>
    <row r="16" spans="1:15" ht="15.75" customHeight="1" x14ac:dyDescent="0.25">
      <c r="A16" s="51"/>
      <c r="B16" s="94"/>
      <c r="C16" s="97" t="s">
        <v>118</v>
      </c>
      <c r="D16" s="97"/>
      <c r="E16" s="77">
        <f>IF(E14="Full",((E8/2)*(IF(E15="pequeno",FULL!C5,IF(E15="médio",FULL!C8,IF(E15="grande",FULL!C11,FULL!C14))))*E31)/E8,0)</f>
        <v>0.45</v>
      </c>
      <c r="F16" s="60"/>
      <c r="G16" s="51"/>
      <c r="H16" s="51"/>
      <c r="I16" s="51"/>
      <c r="J16" s="51"/>
      <c r="K16" s="51"/>
      <c r="L16" s="51"/>
      <c r="M16" s="51"/>
      <c r="N16" s="51"/>
      <c r="O16" s="51"/>
    </row>
    <row r="17" spans="1:15" ht="15.75" customHeight="1" x14ac:dyDescent="0.25">
      <c r="A17" s="51"/>
      <c r="B17" s="94"/>
      <c r="C17" s="97" t="s">
        <v>73</v>
      </c>
      <c r="D17" s="97"/>
      <c r="E17" s="66" t="s">
        <v>175</v>
      </c>
      <c r="F17" s="60"/>
      <c r="G17" s="51"/>
      <c r="H17" s="51"/>
      <c r="I17" s="51"/>
      <c r="J17" s="51"/>
      <c r="K17" s="51"/>
      <c r="L17" s="51"/>
      <c r="M17" s="51"/>
      <c r="N17" s="51"/>
      <c r="O17" s="51"/>
    </row>
    <row r="18" spans="1:15" ht="15.75" customHeight="1" x14ac:dyDescent="0.25">
      <c r="A18" s="51"/>
      <c r="B18" s="94"/>
      <c r="C18" s="92" t="s">
        <v>12</v>
      </c>
      <c r="D18" s="92"/>
      <c r="E18" s="77">
        <f>N5</f>
        <v>6.55</v>
      </c>
      <c r="F18" s="79" t="str">
        <f>IF(AND(E22&gt;19,E22&lt;79,E17&lt;&gt;"Minha"),"FRETE GRÁTIS PADRÃO",IF(AND(E22&lt;=19,E17&lt;&gt;"Minha"),"FRETE PAGO PELO CLIENTE",IF(AND(E22&gt;79,E17="Minha"),"MUDAR PARA FRETE POR CONTA DO CLIENTE",IF(E17="Minha","FRETE GRÁTIS RÁPIDO","FRETE GRÁTIS RÁPIDO"))))</f>
        <v>FRETE GRÁTIS PADRÃO</v>
      </c>
      <c r="G18" s="51"/>
      <c r="H18" s="51"/>
      <c r="I18" s="51"/>
      <c r="J18" s="51"/>
      <c r="K18" s="51"/>
      <c r="L18" s="51"/>
      <c r="M18" s="51"/>
      <c r="N18" s="51"/>
      <c r="O18" s="51"/>
    </row>
    <row r="19" spans="1:15" ht="15.75" customHeight="1" x14ac:dyDescent="0.25">
      <c r="A19" s="51"/>
      <c r="B19" s="94"/>
      <c r="C19" s="96" t="s">
        <v>1</v>
      </c>
      <c r="D19" s="96"/>
      <c r="E19" s="80">
        <f>IF(C19="clássico",0.13,0.18)</f>
        <v>0.13</v>
      </c>
      <c r="F19" s="60"/>
      <c r="G19" s="51"/>
      <c r="H19" s="51"/>
      <c r="I19" s="51"/>
      <c r="J19" s="51"/>
      <c r="K19" s="51"/>
      <c r="L19" s="51"/>
      <c r="M19" s="51"/>
      <c r="N19" s="51"/>
      <c r="O19" s="51"/>
    </row>
    <row r="20" spans="1:15" ht="15.75" customHeight="1" x14ac:dyDescent="0.25">
      <c r="A20" s="51"/>
      <c r="B20" s="94"/>
      <c r="C20" s="68" t="s">
        <v>0</v>
      </c>
      <c r="D20" s="69">
        <v>3.57</v>
      </c>
      <c r="E20" s="81">
        <f>1/D20</f>
        <v>0.28011204481792717</v>
      </c>
      <c r="F20" s="60"/>
      <c r="G20" s="51"/>
      <c r="H20" s="51"/>
      <c r="I20" s="51"/>
      <c r="J20" s="51"/>
      <c r="K20" s="51"/>
      <c r="L20" s="51"/>
      <c r="M20" s="51"/>
      <c r="N20" s="51"/>
      <c r="O20" s="51"/>
    </row>
    <row r="21" spans="1:15" ht="15.75" customHeight="1" thickBot="1" x14ac:dyDescent="0.3">
      <c r="A21" s="51"/>
      <c r="B21" s="95"/>
      <c r="C21" s="100" t="s">
        <v>18</v>
      </c>
      <c r="D21" s="100"/>
      <c r="E21" s="82">
        <f>E36*E20</f>
        <v>2158.1867085061076</v>
      </c>
      <c r="F21" s="83" t="str">
        <f>"INVESTIMENTO EM ADS - R$"&amp;ROUND(E21/E31,0)&amp;" ORÇAMENTO DIARIO PARA VENDER TUDO EM 60D - OU MAIOR PARA ACELERAR"</f>
        <v>INVESTIMENTO EM ADS - R$36 ORÇAMENTO DIARIO PARA VENDER TUDO EM 60D - OU MAIOR PARA ACELERAR</v>
      </c>
      <c r="G21" s="70"/>
      <c r="H21" s="51"/>
      <c r="I21" s="51"/>
      <c r="K21" s="51"/>
      <c r="L21" s="51"/>
      <c r="M21" s="51"/>
      <c r="N21" s="51"/>
      <c r="O21" s="51"/>
    </row>
    <row r="22" spans="1:15" ht="15.75" customHeight="1" x14ac:dyDescent="0.25">
      <c r="A22" s="51"/>
      <c r="B22" s="93" t="s">
        <v>7</v>
      </c>
      <c r="C22" s="99" t="s">
        <v>3</v>
      </c>
      <c r="D22" s="99"/>
      <c r="E22" s="85">
        <f>SUM(E12,E18,E16)/(1-(SUM(E19,E20,E25,E30,E13,E28,(((1+E29)^(E31/30))-1))))</f>
        <v>22.013504426762299</v>
      </c>
      <c r="F22" s="84" t="str">
        <f>"Preço para 10 unidades ou mais R$ "&amp;ROUND(E22*0.95,2)&amp;" - 5% de desconto"</f>
        <v>Preço para 10 unidades ou mais R$ 20,91 - 5% de desconto</v>
      </c>
      <c r="G22" s="70"/>
      <c r="H22" s="51"/>
      <c r="I22" s="51"/>
      <c r="J22" s="51"/>
      <c r="K22" s="51"/>
      <c r="L22" s="51"/>
      <c r="M22" s="51"/>
      <c r="N22" s="51"/>
      <c r="O22" s="51"/>
    </row>
    <row r="23" spans="1:15" ht="15.75" customHeight="1" x14ac:dyDescent="0.25">
      <c r="A23" s="51"/>
      <c r="B23" s="94"/>
      <c r="C23" s="101" t="s">
        <v>120</v>
      </c>
      <c r="D23" s="102"/>
      <c r="E23" s="80">
        <f>(E22-E9)/E22</f>
        <v>0.82283602263442057</v>
      </c>
      <c r="F23" s="60"/>
      <c r="G23" s="70"/>
      <c r="H23" s="51"/>
      <c r="I23" s="51"/>
      <c r="J23" s="51"/>
      <c r="K23" s="51"/>
      <c r="L23" s="51"/>
      <c r="M23" s="51"/>
      <c r="N23" s="51"/>
      <c r="O23" s="51"/>
    </row>
    <row r="24" spans="1:15" ht="15.75" customHeight="1" thickBot="1" x14ac:dyDescent="0.3">
      <c r="A24" s="51"/>
      <c r="B24" s="95"/>
      <c r="C24" s="100" t="s">
        <v>19</v>
      </c>
      <c r="D24" s="100"/>
      <c r="E24" s="86">
        <f>E22/E9</f>
        <v>5.6444883145544358</v>
      </c>
      <c r="F24" s="64"/>
      <c r="G24" s="70"/>
      <c r="H24" s="51"/>
      <c r="I24" s="51"/>
      <c r="J24" s="51"/>
      <c r="K24" s="51"/>
      <c r="L24" s="51"/>
      <c r="M24" s="51"/>
      <c r="N24" s="51"/>
      <c r="O24" s="51"/>
    </row>
    <row r="25" spans="1:15" ht="15.75" customHeight="1" x14ac:dyDescent="0.25">
      <c r="A25" s="51"/>
      <c r="B25" s="93" t="s">
        <v>6</v>
      </c>
      <c r="C25" s="99" t="s">
        <v>2</v>
      </c>
      <c r="D25" s="99"/>
      <c r="E25" s="91">
        <v>0.06</v>
      </c>
      <c r="F25" s="58"/>
      <c r="G25" s="51"/>
      <c r="H25" s="51"/>
      <c r="I25" s="51"/>
      <c r="J25" s="51"/>
      <c r="K25" s="51"/>
      <c r="L25" s="51"/>
      <c r="M25" s="51"/>
      <c r="N25" s="51"/>
      <c r="O25" s="51"/>
    </row>
    <row r="26" spans="1:15" ht="15.75" customHeight="1" x14ac:dyDescent="0.25">
      <c r="A26" s="51"/>
      <c r="B26" s="94"/>
      <c r="C26" s="97" t="s">
        <v>114</v>
      </c>
      <c r="D26" s="97"/>
      <c r="E26" s="71">
        <v>0.04</v>
      </c>
      <c r="F26" s="60"/>
      <c r="G26" s="51"/>
      <c r="H26" s="51"/>
      <c r="I26" s="51"/>
      <c r="J26" s="51"/>
      <c r="K26" s="51"/>
      <c r="L26" s="51"/>
      <c r="M26" s="51"/>
      <c r="N26" s="51"/>
      <c r="O26" s="51"/>
    </row>
    <row r="27" spans="1:15" ht="15.75" customHeight="1" x14ac:dyDescent="0.25">
      <c r="A27" s="51"/>
      <c r="B27" s="94"/>
      <c r="C27" s="101" t="s">
        <v>115</v>
      </c>
      <c r="D27" s="102"/>
      <c r="E27" s="71">
        <v>0.04</v>
      </c>
      <c r="F27" s="60"/>
      <c r="G27" s="51"/>
      <c r="H27" s="51"/>
      <c r="I27" s="51"/>
      <c r="J27" s="51"/>
      <c r="K27" s="51"/>
      <c r="L27" s="51"/>
      <c r="M27" s="51"/>
      <c r="N27" s="51"/>
      <c r="O27" s="51"/>
    </row>
    <row r="28" spans="1:15" ht="15.75" customHeight="1" x14ac:dyDescent="0.25">
      <c r="A28" s="51"/>
      <c r="B28" s="94"/>
      <c r="C28" s="97" t="s">
        <v>113</v>
      </c>
      <c r="D28" s="97"/>
      <c r="E28" s="80">
        <f>E27-E26</f>
        <v>0</v>
      </c>
      <c r="F28" s="60"/>
      <c r="G28" s="51"/>
      <c r="H28" s="51"/>
      <c r="I28" s="51"/>
      <c r="J28" s="51"/>
      <c r="K28" s="51"/>
      <c r="L28" s="51"/>
      <c r="M28" s="51"/>
      <c r="N28" s="51"/>
      <c r="O28" s="51"/>
    </row>
    <row r="29" spans="1:15" ht="15.75" customHeight="1" x14ac:dyDescent="0.25">
      <c r="A29" s="51"/>
      <c r="B29" s="94"/>
      <c r="C29" s="97" t="s">
        <v>22</v>
      </c>
      <c r="D29" s="97"/>
      <c r="E29" s="71">
        <v>0</v>
      </c>
      <c r="F29" s="60" t="s">
        <v>180</v>
      </c>
      <c r="G29" s="51"/>
      <c r="H29" s="51"/>
      <c r="I29" s="51"/>
      <c r="J29" s="51"/>
      <c r="K29" s="51"/>
      <c r="L29" s="51"/>
      <c r="M29" s="51"/>
      <c r="N29" s="51"/>
      <c r="O29" s="51"/>
    </row>
    <row r="30" spans="1:15" ht="15.75" customHeight="1" x14ac:dyDescent="0.25">
      <c r="A30" s="51"/>
      <c r="B30" s="94"/>
      <c r="C30" s="92" t="s">
        <v>119</v>
      </c>
      <c r="D30" s="92"/>
      <c r="E30" s="72">
        <v>0.03</v>
      </c>
      <c r="F30" s="60"/>
      <c r="G30" s="51"/>
      <c r="H30" s="51"/>
      <c r="I30" s="70"/>
      <c r="J30" s="51"/>
      <c r="K30" s="51"/>
      <c r="L30" s="51"/>
      <c r="M30" s="51"/>
      <c r="N30" s="51"/>
      <c r="O30" s="51"/>
    </row>
    <row r="31" spans="1:15" ht="15.75" customHeight="1" x14ac:dyDescent="0.25">
      <c r="A31" s="51"/>
      <c r="B31" s="94"/>
      <c r="C31" s="97" t="s">
        <v>15</v>
      </c>
      <c r="D31" s="97"/>
      <c r="E31" s="61">
        <v>60</v>
      </c>
      <c r="F31" s="67" t="str">
        <f>ROUND((E8/120),0)&amp;" VENDAS POR DIA COMO META - 4 MESES RETIRAR!"</f>
        <v>3 VENDAS POR DIA COMO META - 4 MESES RETIRAR!</v>
      </c>
      <c r="G31" s="51"/>
      <c r="H31" s="51"/>
      <c r="I31" s="51"/>
      <c r="J31" s="51"/>
      <c r="K31" s="51"/>
      <c r="L31" s="51"/>
      <c r="M31" s="51"/>
      <c r="N31" s="51"/>
      <c r="O31" s="51"/>
    </row>
    <row r="32" spans="1:15" ht="15.75" customHeight="1" x14ac:dyDescent="0.25">
      <c r="A32" s="51"/>
      <c r="B32" s="94"/>
      <c r="C32" s="92" t="s">
        <v>121</v>
      </c>
      <c r="D32" s="92"/>
      <c r="E32" s="87">
        <f>E22*E30*E8</f>
        <v>231.14179648100412</v>
      </c>
      <c r="F32" s="60"/>
      <c r="G32" s="51"/>
      <c r="H32" s="51"/>
      <c r="I32" s="51"/>
      <c r="J32" s="51"/>
      <c r="K32" s="51"/>
      <c r="L32" s="51"/>
      <c r="M32" s="51"/>
      <c r="N32" s="51"/>
      <c r="O32" s="51"/>
    </row>
    <row r="33" spans="1:15" ht="15.75" customHeight="1" x14ac:dyDescent="0.25">
      <c r="A33" s="51"/>
      <c r="B33" s="94"/>
      <c r="C33" s="92" t="s">
        <v>122</v>
      </c>
      <c r="D33" s="92"/>
      <c r="E33" s="87">
        <f>E30*E22</f>
        <v>0.66040513280286894</v>
      </c>
      <c r="F33" s="60"/>
      <c r="G33" s="51"/>
      <c r="H33" s="51"/>
      <c r="I33" s="51"/>
      <c r="J33" s="51"/>
      <c r="K33" s="51"/>
      <c r="L33" s="51"/>
      <c r="M33" s="51"/>
      <c r="N33" s="51"/>
      <c r="O33" s="51"/>
    </row>
    <row r="34" spans="1:15" ht="15.75" customHeight="1" x14ac:dyDescent="0.25">
      <c r="A34" s="51"/>
      <c r="B34" s="94"/>
      <c r="C34" s="92" t="s">
        <v>13</v>
      </c>
      <c r="D34" s="92"/>
      <c r="E34" s="88">
        <f>E32/E11</f>
        <v>0.16492457829540072</v>
      </c>
      <c r="F34" s="60"/>
      <c r="G34" s="51"/>
      <c r="H34" s="51"/>
      <c r="I34" s="51"/>
      <c r="J34" s="51"/>
      <c r="K34" s="51"/>
      <c r="L34" s="51"/>
      <c r="M34" s="51"/>
      <c r="N34" s="51"/>
      <c r="O34" s="51"/>
    </row>
    <row r="35" spans="1:15" ht="15.75" customHeight="1" x14ac:dyDescent="0.25">
      <c r="A35" s="51"/>
      <c r="B35" s="94"/>
      <c r="C35" s="97" t="s">
        <v>16</v>
      </c>
      <c r="D35" s="97"/>
      <c r="E35" s="89">
        <f>(1+E34)^(365/E31)-1</f>
        <v>1.5311137763483806</v>
      </c>
      <c r="F35" s="60" t="s">
        <v>17</v>
      </c>
      <c r="G35" s="51"/>
      <c r="H35" s="51"/>
      <c r="I35" s="51"/>
      <c r="J35" s="51"/>
      <c r="K35" s="51"/>
      <c r="L35" s="51"/>
      <c r="M35" s="51"/>
      <c r="N35" s="51"/>
      <c r="O35" s="51"/>
    </row>
    <row r="36" spans="1:15" ht="15.75" customHeight="1" thickBot="1" x14ac:dyDescent="0.3">
      <c r="A36" s="51"/>
      <c r="B36" s="95"/>
      <c r="C36" s="103" t="s">
        <v>14</v>
      </c>
      <c r="D36" s="103"/>
      <c r="E36" s="90">
        <f>E22*E8</f>
        <v>7704.7265493668046</v>
      </c>
      <c r="F36" s="64"/>
      <c r="G36" s="51"/>
      <c r="H36" s="51"/>
      <c r="I36" s="51"/>
      <c r="J36" s="51"/>
      <c r="K36" s="51"/>
      <c r="L36" s="51"/>
      <c r="M36" s="51"/>
      <c r="N36" s="51"/>
      <c r="O36" s="51"/>
    </row>
    <row r="37" spans="1:15" ht="15.75" customHeight="1" x14ac:dyDescent="0.25"/>
    <row r="38" spans="1:15" ht="15.75" customHeight="1" x14ac:dyDescent="0.25"/>
    <row r="39" spans="1:15" ht="15.75" customHeight="1" x14ac:dyDescent="0.25"/>
    <row r="40" spans="1:15" ht="15" customHeight="1" x14ac:dyDescent="0.25"/>
    <row r="42" spans="1:15" x14ac:dyDescent="0.25">
      <c r="E42" s="3"/>
    </row>
    <row r="43" spans="1:15" x14ac:dyDescent="0.25">
      <c r="E43" s="3"/>
      <c r="F43" s="4"/>
    </row>
    <row r="44" spans="1:15" x14ac:dyDescent="0.25">
      <c r="E44" s="3"/>
      <c r="F44" s="4"/>
    </row>
    <row r="45" spans="1:15" x14ac:dyDescent="0.25">
      <c r="F45" s="4"/>
    </row>
    <row r="46" spans="1:15" x14ac:dyDescent="0.25">
      <c r="F46" s="4"/>
    </row>
    <row r="47" spans="1:15" x14ac:dyDescent="0.25">
      <c r="F47" s="4"/>
    </row>
    <row r="48" spans="1:15" x14ac:dyDescent="0.25">
      <c r="F48" s="4"/>
    </row>
  </sheetData>
  <sheetProtection algorithmName="SHA-512" hashValue="kMAg3WJm4S47HNFRuOWoYb9EBdMOJnGpGB9dcXU1zPkSjIyESyFnq4Bxtd/LujoDRkh05Ysg206uTFdr+Ti5EA==" saltValue="xfJ09q9b5f8x4J1GzLGx8A==" spinCount="100000" sheet="1" objects="1" scenarios="1" selectLockedCells="1"/>
  <mergeCells count="36">
    <mergeCell ref="C27:D27"/>
    <mergeCell ref="C33:D33"/>
    <mergeCell ref="C29:D29"/>
    <mergeCell ref="C25:D25"/>
    <mergeCell ref="C30:D30"/>
    <mergeCell ref="B25:B36"/>
    <mergeCell ref="C34:D34"/>
    <mergeCell ref="C9:D9"/>
    <mergeCell ref="C10:D10"/>
    <mergeCell ref="C12:D12"/>
    <mergeCell ref="C13:D13"/>
    <mergeCell ref="C17:D17"/>
    <mergeCell ref="C28:D28"/>
    <mergeCell ref="C26:D26"/>
    <mergeCell ref="C16:D16"/>
    <mergeCell ref="B14:B21"/>
    <mergeCell ref="C36:D36"/>
    <mergeCell ref="C31:D31"/>
    <mergeCell ref="C24:D24"/>
    <mergeCell ref="C32:D32"/>
    <mergeCell ref="C35:D35"/>
    <mergeCell ref="C8:D8"/>
    <mergeCell ref="B4:B13"/>
    <mergeCell ref="B22:B24"/>
    <mergeCell ref="C11:D11"/>
    <mergeCell ref="C18:D18"/>
    <mergeCell ref="C19:D19"/>
    <mergeCell ref="C5:D5"/>
    <mergeCell ref="C6:D6"/>
    <mergeCell ref="C7:D7"/>
    <mergeCell ref="C15:D15"/>
    <mergeCell ref="C14:D14"/>
    <mergeCell ref="C4:D4"/>
    <mergeCell ref="C21:D21"/>
    <mergeCell ref="C22:D22"/>
    <mergeCell ref="C23:D23"/>
  </mergeCells>
  <conditionalFormatting sqref="F18">
    <cfRule type="containsText" dxfId="2" priority="1" operator="containsText" text="MUDAR">
      <formula>NOT(ISERROR(SEARCH("MUDAR",F18)))</formula>
    </cfRule>
    <cfRule type="containsText" dxfId="1" priority="2" operator="containsText" text="RÁPIDO">
      <formula>NOT(ISERROR(SEARCH("RÁPIDO",F18)))</formula>
    </cfRule>
    <cfRule type="containsText" dxfId="0" priority="3" operator="containsText" text="GRÁTIS">
      <formula>NOT(ISERROR(SEARCH("GRÁTIS",F18)))</formula>
    </cfRule>
  </conditionalFormatting>
  <dataValidations count="3">
    <dataValidation type="list" allowBlank="1" showInputMessage="1" showErrorMessage="1" sqref="C19:C20" xr:uid="{BB4174CA-05D5-4F78-ABD8-CDF093D47345}">
      <formula1>"CLÁSSICO,PREMIUM"</formula1>
    </dataValidation>
    <dataValidation type="list" allowBlank="1" showInputMessage="1" showErrorMessage="1" sqref="E17" xr:uid="{23311861-2F18-4B55-933B-177ED3003A01}">
      <formula1>"Minha,Cliente"</formula1>
    </dataValidation>
    <dataValidation type="list" allowBlank="1" showInputMessage="1" showErrorMessage="1" sqref="E14" xr:uid="{740BE427-17CE-400C-9774-236D04D02D85}">
      <formula1>"Própria,Full"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4002-9C87-4FBE-894B-430CC77D6065}">
  <dimension ref="B2:J33"/>
  <sheetViews>
    <sheetView showGridLines="0" workbookViewId="0">
      <selection activeCell="E11" sqref="E11"/>
    </sheetView>
  </sheetViews>
  <sheetFormatPr defaultRowHeight="15" x14ac:dyDescent="0.25"/>
  <cols>
    <col min="1" max="1" width="4.42578125" customWidth="1"/>
    <col min="2" max="2" width="43.5703125" bestFit="1" customWidth="1"/>
    <col min="3" max="3" width="25.140625" bestFit="1" customWidth="1"/>
    <col min="7" max="7" width="3.7109375" customWidth="1"/>
    <col min="8" max="10" width="47.140625" customWidth="1"/>
  </cols>
  <sheetData>
    <row r="2" spans="2:10" x14ac:dyDescent="0.25">
      <c r="B2" s="8" t="s">
        <v>88</v>
      </c>
      <c r="H2" s="8" t="s">
        <v>174</v>
      </c>
    </row>
    <row r="3" spans="2:10" ht="11.25" customHeight="1" x14ac:dyDescent="0.25"/>
    <row r="4" spans="2:10" x14ac:dyDescent="0.25">
      <c r="B4" s="29" t="s">
        <v>74</v>
      </c>
      <c r="C4" s="29" t="s">
        <v>75</v>
      </c>
      <c r="H4" s="106" t="s">
        <v>123</v>
      </c>
      <c r="I4" s="39" t="s">
        <v>124</v>
      </c>
      <c r="J4" s="39" t="s">
        <v>125</v>
      </c>
    </row>
    <row r="5" spans="2:10" x14ac:dyDescent="0.25">
      <c r="B5" s="30" t="s">
        <v>76</v>
      </c>
      <c r="C5" s="116">
        <v>7.0000000000000001E-3</v>
      </c>
      <c r="H5" s="107"/>
      <c r="I5" s="108" t="s">
        <v>126</v>
      </c>
      <c r="J5" s="109"/>
    </row>
    <row r="6" spans="2:10" x14ac:dyDescent="0.25">
      <c r="B6" s="31" t="s">
        <v>77</v>
      </c>
      <c r="C6" s="117"/>
      <c r="H6" s="40" t="s">
        <v>127</v>
      </c>
      <c r="I6" s="41">
        <v>98</v>
      </c>
      <c r="J6" s="41">
        <v>1</v>
      </c>
    </row>
    <row r="7" spans="2:10" x14ac:dyDescent="0.25">
      <c r="B7" s="32" t="s">
        <v>78</v>
      </c>
      <c r="C7" s="118"/>
      <c r="H7" s="40" t="s">
        <v>128</v>
      </c>
      <c r="I7" s="42" t="s">
        <v>129</v>
      </c>
      <c r="J7" s="42" t="s">
        <v>130</v>
      </c>
    </row>
    <row r="8" spans="2:10" x14ac:dyDescent="0.25">
      <c r="B8" s="30" t="s">
        <v>79</v>
      </c>
      <c r="C8" s="116">
        <v>1.4999999999999999E-2</v>
      </c>
      <c r="H8" s="40" t="s">
        <v>131</v>
      </c>
      <c r="I8" s="42" t="s">
        <v>132</v>
      </c>
      <c r="J8" s="42" t="s">
        <v>133</v>
      </c>
    </row>
    <row r="9" spans="2:10" x14ac:dyDescent="0.25">
      <c r="B9" s="31" t="s">
        <v>80</v>
      </c>
      <c r="C9" s="117"/>
      <c r="H9" s="40" t="s">
        <v>134</v>
      </c>
      <c r="I9" s="42" t="s">
        <v>135</v>
      </c>
      <c r="J9" s="42" t="s">
        <v>136</v>
      </c>
    </row>
    <row r="10" spans="2:10" x14ac:dyDescent="0.25">
      <c r="B10" s="32" t="s">
        <v>81</v>
      </c>
      <c r="C10" s="118"/>
      <c r="H10" s="40" t="s">
        <v>137</v>
      </c>
      <c r="I10" s="42" t="s">
        <v>138</v>
      </c>
      <c r="J10" s="42" t="s">
        <v>139</v>
      </c>
    </row>
    <row r="11" spans="2:10" x14ac:dyDescent="0.25">
      <c r="B11" s="30" t="s">
        <v>82</v>
      </c>
      <c r="C11" s="116">
        <v>0.05</v>
      </c>
      <c r="H11" s="40" t="s">
        <v>140</v>
      </c>
      <c r="I11" s="42" t="s">
        <v>141</v>
      </c>
      <c r="J11" s="42" t="s">
        <v>142</v>
      </c>
    </row>
    <row r="12" spans="2:10" x14ac:dyDescent="0.25">
      <c r="B12" s="31" t="s">
        <v>83</v>
      </c>
      <c r="C12" s="117"/>
      <c r="H12" s="40" t="s">
        <v>143</v>
      </c>
      <c r="I12" s="42" t="s">
        <v>144</v>
      </c>
      <c r="J12" s="42" t="s">
        <v>145</v>
      </c>
    </row>
    <row r="13" spans="2:10" x14ac:dyDescent="0.25">
      <c r="B13" s="32" t="s">
        <v>84</v>
      </c>
      <c r="C13" s="118"/>
      <c r="H13" s="104" t="s">
        <v>146</v>
      </c>
      <c r="I13" s="43" t="s">
        <v>147</v>
      </c>
      <c r="J13" s="43" t="s">
        <v>149</v>
      </c>
    </row>
    <row r="14" spans="2:10" x14ac:dyDescent="0.25">
      <c r="B14" s="30" t="s">
        <v>85</v>
      </c>
      <c r="C14" s="116">
        <v>0.107</v>
      </c>
      <c r="H14" s="105"/>
      <c r="I14" s="44" t="s">
        <v>148</v>
      </c>
      <c r="J14" s="44" t="s">
        <v>150</v>
      </c>
    </row>
    <row r="15" spans="2:10" x14ac:dyDescent="0.25">
      <c r="B15" s="31" t="s">
        <v>86</v>
      </c>
      <c r="C15" s="117"/>
      <c r="H15" s="104" t="s">
        <v>151</v>
      </c>
      <c r="I15" s="43" t="s">
        <v>152</v>
      </c>
      <c r="J15" s="43" t="s">
        <v>154</v>
      </c>
    </row>
    <row r="16" spans="2:10" x14ac:dyDescent="0.25">
      <c r="B16" s="32" t="s">
        <v>87</v>
      </c>
      <c r="C16" s="118"/>
      <c r="H16" s="105"/>
      <c r="I16" s="44" t="s">
        <v>153</v>
      </c>
      <c r="J16" s="44" t="s">
        <v>155</v>
      </c>
    </row>
    <row r="17" spans="2:10" x14ac:dyDescent="0.25">
      <c r="B17" s="37"/>
      <c r="C17" s="38"/>
      <c r="H17" s="104" t="s">
        <v>156</v>
      </c>
      <c r="I17" s="43" t="s">
        <v>157</v>
      </c>
      <c r="J17" s="43" t="s">
        <v>159</v>
      </c>
    </row>
    <row r="18" spans="2:10" x14ac:dyDescent="0.25">
      <c r="B18" s="8" t="s">
        <v>111</v>
      </c>
      <c r="C18" s="38"/>
      <c r="H18" s="105"/>
      <c r="I18" s="44" t="s">
        <v>158</v>
      </c>
      <c r="J18" s="44" t="s">
        <v>155</v>
      </c>
    </row>
    <row r="19" spans="2:10" x14ac:dyDescent="0.25">
      <c r="H19" s="104" t="s">
        <v>160</v>
      </c>
      <c r="I19" s="43" t="s">
        <v>161</v>
      </c>
      <c r="J19" s="43" t="s">
        <v>163</v>
      </c>
    </row>
    <row r="20" spans="2:10" x14ac:dyDescent="0.25">
      <c r="B20" s="119" t="s">
        <v>74</v>
      </c>
      <c r="C20" s="121" t="s">
        <v>89</v>
      </c>
      <c r="D20" s="122"/>
      <c r="E20" s="122"/>
      <c r="F20" s="123"/>
      <c r="H20" s="105"/>
      <c r="I20" s="44" t="s">
        <v>162</v>
      </c>
      <c r="J20" s="44" t="s">
        <v>164</v>
      </c>
    </row>
    <row r="21" spans="2:10" ht="24" x14ac:dyDescent="0.25">
      <c r="B21" s="120"/>
      <c r="C21" s="33" t="s">
        <v>90</v>
      </c>
      <c r="D21" s="33" t="s">
        <v>91</v>
      </c>
      <c r="E21" s="33" t="s">
        <v>92</v>
      </c>
      <c r="F21" s="33" t="s">
        <v>93</v>
      </c>
      <c r="H21" s="104" t="s">
        <v>165</v>
      </c>
      <c r="I21" s="43" t="s">
        <v>166</v>
      </c>
      <c r="J21" s="43" t="s">
        <v>168</v>
      </c>
    </row>
    <row r="22" spans="2:10" x14ac:dyDescent="0.25">
      <c r="B22" s="34" t="s">
        <v>76</v>
      </c>
      <c r="C22" s="110" t="s">
        <v>95</v>
      </c>
      <c r="D22" s="113" t="s">
        <v>96</v>
      </c>
      <c r="E22" s="113" t="s">
        <v>97</v>
      </c>
      <c r="F22" s="113" t="s">
        <v>98</v>
      </c>
      <c r="H22" s="105"/>
      <c r="I22" s="44" t="s">
        <v>167</v>
      </c>
      <c r="J22" s="44" t="s">
        <v>169</v>
      </c>
    </row>
    <row r="23" spans="2:10" x14ac:dyDescent="0.25">
      <c r="B23" s="35" t="s">
        <v>94</v>
      </c>
      <c r="C23" s="111"/>
      <c r="D23" s="114"/>
      <c r="E23" s="114"/>
      <c r="F23" s="114"/>
      <c r="H23" s="104" t="s">
        <v>170</v>
      </c>
      <c r="I23" s="45" t="s">
        <v>171</v>
      </c>
      <c r="J23" s="43" t="s">
        <v>173</v>
      </c>
    </row>
    <row r="24" spans="2:10" x14ac:dyDescent="0.25">
      <c r="B24" s="36" t="s">
        <v>78</v>
      </c>
      <c r="C24" s="112"/>
      <c r="D24" s="115"/>
      <c r="E24" s="115"/>
      <c r="F24" s="115"/>
      <c r="H24" s="105"/>
      <c r="I24" s="44" t="s">
        <v>172</v>
      </c>
      <c r="J24" s="44" t="s">
        <v>169</v>
      </c>
    </row>
    <row r="25" spans="2:10" x14ac:dyDescent="0.25">
      <c r="B25" s="34" t="s">
        <v>79</v>
      </c>
      <c r="C25" s="110" t="s">
        <v>95</v>
      </c>
      <c r="D25" s="113" t="s">
        <v>100</v>
      </c>
      <c r="E25" s="113" t="s">
        <v>101</v>
      </c>
      <c r="F25" s="113" t="s">
        <v>102</v>
      </c>
    </row>
    <row r="26" spans="2:10" x14ac:dyDescent="0.25">
      <c r="B26" s="35" t="s">
        <v>99</v>
      </c>
      <c r="C26" s="111"/>
      <c r="D26" s="114"/>
      <c r="E26" s="114"/>
      <c r="F26" s="114"/>
    </row>
    <row r="27" spans="2:10" x14ac:dyDescent="0.25">
      <c r="B27" s="36" t="s">
        <v>81</v>
      </c>
      <c r="C27" s="112"/>
      <c r="D27" s="115"/>
      <c r="E27" s="115"/>
      <c r="F27" s="115"/>
    </row>
    <row r="28" spans="2:10" x14ac:dyDescent="0.25">
      <c r="B28" s="34" t="s">
        <v>82</v>
      </c>
      <c r="C28" s="110" t="s">
        <v>95</v>
      </c>
      <c r="D28" s="113" t="s">
        <v>104</v>
      </c>
      <c r="E28" s="113" t="s">
        <v>105</v>
      </c>
      <c r="F28" s="113" t="s">
        <v>106</v>
      </c>
    </row>
    <row r="29" spans="2:10" x14ac:dyDescent="0.25">
      <c r="B29" s="35" t="s">
        <v>103</v>
      </c>
      <c r="C29" s="111"/>
      <c r="D29" s="114"/>
      <c r="E29" s="114"/>
      <c r="F29" s="114"/>
    </row>
    <row r="30" spans="2:10" x14ac:dyDescent="0.25">
      <c r="B30" s="36" t="s">
        <v>84</v>
      </c>
      <c r="C30" s="112"/>
      <c r="D30" s="115"/>
      <c r="E30" s="115"/>
      <c r="F30" s="115"/>
    </row>
    <row r="31" spans="2:10" x14ac:dyDescent="0.25">
      <c r="B31" s="34" t="s">
        <v>85</v>
      </c>
      <c r="C31" s="110" t="s">
        <v>95</v>
      </c>
      <c r="D31" s="113" t="s">
        <v>108</v>
      </c>
      <c r="E31" s="113" t="s">
        <v>109</v>
      </c>
      <c r="F31" s="113" t="s">
        <v>110</v>
      </c>
    </row>
    <row r="32" spans="2:10" ht="24" x14ac:dyDescent="0.25">
      <c r="B32" s="35" t="s">
        <v>107</v>
      </c>
      <c r="C32" s="111"/>
      <c r="D32" s="114"/>
      <c r="E32" s="114"/>
      <c r="F32" s="114"/>
    </row>
    <row r="33" spans="2:6" x14ac:dyDescent="0.25">
      <c r="B33" s="36" t="s">
        <v>87</v>
      </c>
      <c r="C33" s="112"/>
      <c r="D33" s="115"/>
      <c r="E33" s="115"/>
      <c r="F33" s="115"/>
    </row>
  </sheetData>
  <mergeCells count="30">
    <mergeCell ref="C5:C7"/>
    <mergeCell ref="C8:C10"/>
    <mergeCell ref="C11:C13"/>
    <mergeCell ref="C14:C16"/>
    <mergeCell ref="B20:B21"/>
    <mergeCell ref="C20:F20"/>
    <mergeCell ref="C22:C24"/>
    <mergeCell ref="D22:D24"/>
    <mergeCell ref="E22:E24"/>
    <mergeCell ref="F22:F24"/>
    <mergeCell ref="C25:C27"/>
    <mergeCell ref="D25:D27"/>
    <mergeCell ref="E25:E27"/>
    <mergeCell ref="F25:F27"/>
    <mergeCell ref="C28:C30"/>
    <mergeCell ref="D28:D30"/>
    <mergeCell ref="E28:E30"/>
    <mergeCell ref="F28:F30"/>
    <mergeCell ref="C31:C33"/>
    <mergeCell ref="D31:D33"/>
    <mergeCell ref="E31:E33"/>
    <mergeCell ref="F31:F33"/>
    <mergeCell ref="H21:H22"/>
    <mergeCell ref="H23:H24"/>
    <mergeCell ref="H4:H5"/>
    <mergeCell ref="I5:J5"/>
    <mergeCell ref="H13:H14"/>
    <mergeCell ref="H15:H16"/>
    <mergeCell ref="H17:H18"/>
    <mergeCell ref="H19:H2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0CAB-86E2-436C-BA7F-23F7521CC0DF}">
  <dimension ref="B1:L68"/>
  <sheetViews>
    <sheetView workbookViewId="0">
      <selection activeCell="D12" sqref="D12"/>
    </sheetView>
  </sheetViews>
  <sheetFormatPr defaultRowHeight="15" x14ac:dyDescent="0.25"/>
  <cols>
    <col min="1" max="1" width="2" customWidth="1"/>
    <col min="2" max="2" width="17.7109375" bestFit="1" customWidth="1"/>
    <col min="3" max="3" width="19.7109375" bestFit="1" customWidth="1"/>
    <col min="4" max="6" width="20" bestFit="1" customWidth="1"/>
    <col min="7" max="9" width="22.7109375" bestFit="1" customWidth="1"/>
    <col min="10" max="10" width="20.7109375" bestFit="1" customWidth="1"/>
  </cols>
  <sheetData>
    <row r="1" spans="2:12" x14ac:dyDescent="0.25">
      <c r="B1" s="28" t="s">
        <v>72</v>
      </c>
    </row>
    <row r="2" spans="2:12" x14ac:dyDescent="0.25">
      <c r="B2" s="8" t="s">
        <v>66</v>
      </c>
    </row>
    <row r="3" spans="2:12" x14ac:dyDescent="0.25">
      <c r="B3" s="9" t="s">
        <v>67</v>
      </c>
    </row>
    <row r="4" spans="2:12" x14ac:dyDescent="0.25">
      <c r="B4" s="9" t="s">
        <v>68</v>
      </c>
    </row>
    <row r="5" spans="2:12" ht="11.25" customHeight="1" thickBot="1" x14ac:dyDescent="0.3">
      <c r="B5" s="8"/>
    </row>
    <row r="6" spans="2:12" ht="15.75" thickBot="1" x14ac:dyDescent="0.3">
      <c r="B6" s="10" t="s">
        <v>28</v>
      </c>
      <c r="C6" s="11" t="s">
        <v>29</v>
      </c>
      <c r="D6" s="11" t="s">
        <v>30</v>
      </c>
      <c r="E6" s="11" t="s">
        <v>31</v>
      </c>
      <c r="F6" s="11" t="s">
        <v>32</v>
      </c>
      <c r="G6" s="11" t="s">
        <v>33</v>
      </c>
      <c r="H6" s="11" t="s">
        <v>34</v>
      </c>
      <c r="I6" s="11" t="s">
        <v>35</v>
      </c>
      <c r="J6" s="12" t="s">
        <v>36</v>
      </c>
    </row>
    <row r="7" spans="2:12" ht="15.75" thickBot="1" x14ac:dyDescent="0.3">
      <c r="B7" s="13" t="s">
        <v>37</v>
      </c>
      <c r="C7" s="5">
        <v>5.65</v>
      </c>
      <c r="D7" s="5">
        <v>6.55</v>
      </c>
      <c r="E7" s="5">
        <v>7.75</v>
      </c>
      <c r="F7" s="5">
        <v>12.35</v>
      </c>
      <c r="G7" s="5">
        <v>14.35</v>
      </c>
      <c r="H7" s="5">
        <v>16.45</v>
      </c>
      <c r="I7" s="5">
        <v>18.45</v>
      </c>
      <c r="J7" s="14">
        <v>20.95</v>
      </c>
    </row>
    <row r="8" spans="2:12" ht="15.75" thickBot="1" x14ac:dyDescent="0.3">
      <c r="B8" s="15" t="s">
        <v>38</v>
      </c>
      <c r="C8" s="6">
        <v>5.95</v>
      </c>
      <c r="D8" s="6">
        <v>6.65</v>
      </c>
      <c r="E8" s="6">
        <v>7.85</v>
      </c>
      <c r="F8" s="6">
        <v>13.25</v>
      </c>
      <c r="G8" s="6">
        <v>15.45</v>
      </c>
      <c r="H8" s="6">
        <v>17.649999999999999</v>
      </c>
      <c r="I8" s="6">
        <v>19.850000000000001</v>
      </c>
      <c r="J8" s="16">
        <v>22.55</v>
      </c>
    </row>
    <row r="9" spans="2:12" ht="15.75" thickBot="1" x14ac:dyDescent="0.3">
      <c r="B9" s="13" t="s">
        <v>39</v>
      </c>
      <c r="C9" s="5">
        <v>6.05</v>
      </c>
      <c r="D9" s="5">
        <v>6.75</v>
      </c>
      <c r="E9" s="5">
        <v>7.95</v>
      </c>
      <c r="F9" s="5">
        <v>13.85</v>
      </c>
      <c r="G9" s="5">
        <v>16.149999999999999</v>
      </c>
      <c r="H9" s="5">
        <v>18.45</v>
      </c>
      <c r="I9" s="5">
        <v>20.75</v>
      </c>
      <c r="J9" s="14">
        <v>23.65</v>
      </c>
      <c r="L9" s="7"/>
    </row>
    <row r="10" spans="2:12" ht="15.75" thickBot="1" x14ac:dyDescent="0.3">
      <c r="B10" s="15" t="s">
        <v>40</v>
      </c>
      <c r="C10" s="6">
        <v>6.15</v>
      </c>
      <c r="D10" s="6">
        <v>6.85</v>
      </c>
      <c r="E10" s="6">
        <v>8.0500000000000007</v>
      </c>
      <c r="F10" s="6">
        <v>14.15</v>
      </c>
      <c r="G10" s="6">
        <v>16.45</v>
      </c>
      <c r="H10" s="6">
        <v>18.850000000000001</v>
      </c>
      <c r="I10" s="6">
        <v>21.15</v>
      </c>
      <c r="J10" s="16">
        <v>24.65</v>
      </c>
    </row>
    <row r="11" spans="2:12" ht="15.75" thickBot="1" x14ac:dyDescent="0.3">
      <c r="B11" s="13" t="s">
        <v>41</v>
      </c>
      <c r="C11" s="5">
        <v>6.25</v>
      </c>
      <c r="D11" s="5">
        <v>6.95</v>
      </c>
      <c r="E11" s="5">
        <v>8.15</v>
      </c>
      <c r="F11" s="5">
        <v>14.45</v>
      </c>
      <c r="G11" s="5">
        <v>16.850000000000001</v>
      </c>
      <c r="H11" s="5">
        <v>19.25</v>
      </c>
      <c r="I11" s="5">
        <v>21.65</v>
      </c>
      <c r="J11" s="14">
        <v>24.65</v>
      </c>
    </row>
    <row r="12" spans="2:12" ht="15.75" thickBot="1" x14ac:dyDescent="0.3">
      <c r="B12" s="15" t="s">
        <v>42</v>
      </c>
      <c r="C12" s="6">
        <v>6.35</v>
      </c>
      <c r="D12" s="6">
        <v>7.95</v>
      </c>
      <c r="E12" s="6">
        <v>8.5500000000000007</v>
      </c>
      <c r="F12" s="6">
        <v>15.75</v>
      </c>
      <c r="G12" s="6">
        <v>18.350000000000001</v>
      </c>
      <c r="H12" s="6">
        <v>21.05</v>
      </c>
      <c r="I12" s="6">
        <v>23.65</v>
      </c>
      <c r="J12" s="16">
        <v>26.25</v>
      </c>
    </row>
    <row r="13" spans="2:12" ht="15.75" thickBot="1" x14ac:dyDescent="0.3">
      <c r="B13" s="13" t="s">
        <v>43</v>
      </c>
      <c r="C13" s="5">
        <v>6.45</v>
      </c>
      <c r="D13" s="5">
        <v>8.15</v>
      </c>
      <c r="E13" s="5">
        <v>8.9499999999999993</v>
      </c>
      <c r="F13" s="5">
        <v>17.05</v>
      </c>
      <c r="G13" s="5">
        <v>19.850000000000001</v>
      </c>
      <c r="H13" s="5">
        <v>22.65</v>
      </c>
      <c r="I13" s="5">
        <v>25.55</v>
      </c>
      <c r="J13" s="14">
        <v>28.35</v>
      </c>
    </row>
    <row r="14" spans="2:12" ht="15.75" thickBot="1" x14ac:dyDescent="0.3">
      <c r="B14" s="15" t="s">
        <v>44</v>
      </c>
      <c r="C14" s="6">
        <v>6.55</v>
      </c>
      <c r="D14" s="6">
        <v>8.35</v>
      </c>
      <c r="E14" s="6">
        <v>9.75</v>
      </c>
      <c r="F14" s="6">
        <v>18.45</v>
      </c>
      <c r="G14" s="6">
        <v>21.55</v>
      </c>
      <c r="H14" s="6">
        <v>24.65</v>
      </c>
      <c r="I14" s="6">
        <v>27.75</v>
      </c>
      <c r="J14" s="16">
        <v>30.75</v>
      </c>
    </row>
    <row r="15" spans="2:12" ht="15.75" thickBot="1" x14ac:dyDescent="0.3">
      <c r="B15" s="13" t="s">
        <v>45</v>
      </c>
      <c r="C15" s="5">
        <v>6.65</v>
      </c>
      <c r="D15" s="5">
        <v>8.5500000000000007</v>
      </c>
      <c r="E15" s="5">
        <v>9.9499999999999993</v>
      </c>
      <c r="F15" s="5">
        <v>25.45</v>
      </c>
      <c r="G15" s="5">
        <v>28.55</v>
      </c>
      <c r="H15" s="5">
        <v>32.65</v>
      </c>
      <c r="I15" s="5">
        <v>35.75</v>
      </c>
      <c r="J15" s="14">
        <v>39.75</v>
      </c>
    </row>
    <row r="16" spans="2:12" ht="15.75" thickBot="1" x14ac:dyDescent="0.3">
      <c r="B16" s="15" t="s">
        <v>46</v>
      </c>
      <c r="C16" s="6">
        <v>6.75</v>
      </c>
      <c r="D16" s="6">
        <v>8.75</v>
      </c>
      <c r="E16" s="6">
        <v>10.15</v>
      </c>
      <c r="F16" s="6">
        <v>27.05</v>
      </c>
      <c r="G16" s="6">
        <v>31.05</v>
      </c>
      <c r="H16" s="6">
        <v>36.049999999999997</v>
      </c>
      <c r="I16" s="6">
        <v>40.049999999999997</v>
      </c>
      <c r="J16" s="16">
        <v>44.05</v>
      </c>
    </row>
    <row r="17" spans="2:10" ht="15.75" thickBot="1" x14ac:dyDescent="0.3">
      <c r="B17" s="13" t="s">
        <v>47</v>
      </c>
      <c r="C17" s="5">
        <v>6.85</v>
      </c>
      <c r="D17" s="5">
        <v>8.9499999999999993</v>
      </c>
      <c r="E17" s="5">
        <v>10.35</v>
      </c>
      <c r="F17" s="5">
        <v>28.85</v>
      </c>
      <c r="G17" s="5">
        <v>33.65</v>
      </c>
      <c r="H17" s="5">
        <v>38.450000000000003</v>
      </c>
      <c r="I17" s="5">
        <v>43.25</v>
      </c>
      <c r="J17" s="14">
        <v>48.05</v>
      </c>
    </row>
    <row r="18" spans="2:10" ht="15.75" thickBot="1" x14ac:dyDescent="0.3">
      <c r="B18" s="15" t="s">
        <v>48</v>
      </c>
      <c r="C18" s="6">
        <v>6.95</v>
      </c>
      <c r="D18" s="6">
        <v>9.15</v>
      </c>
      <c r="E18" s="6">
        <v>10.55</v>
      </c>
      <c r="F18" s="6">
        <v>29.65</v>
      </c>
      <c r="G18" s="6">
        <v>34.549999999999997</v>
      </c>
      <c r="H18" s="6">
        <v>39.549999999999997</v>
      </c>
      <c r="I18" s="6">
        <v>44.45</v>
      </c>
      <c r="J18" s="16">
        <v>49.35</v>
      </c>
    </row>
    <row r="19" spans="2:10" ht="15.75" thickBot="1" x14ac:dyDescent="0.3">
      <c r="B19" s="13" t="s">
        <v>49</v>
      </c>
      <c r="C19" s="5">
        <v>7.05</v>
      </c>
      <c r="D19" s="5">
        <v>9.5500000000000007</v>
      </c>
      <c r="E19" s="5">
        <v>10.95</v>
      </c>
      <c r="F19" s="5">
        <v>41.25</v>
      </c>
      <c r="G19" s="5">
        <v>48.05</v>
      </c>
      <c r="H19" s="5">
        <v>54.95</v>
      </c>
      <c r="I19" s="5">
        <v>61.75</v>
      </c>
      <c r="J19" s="14">
        <v>68.650000000000006</v>
      </c>
    </row>
    <row r="20" spans="2:10" ht="15.75" thickBot="1" x14ac:dyDescent="0.3">
      <c r="B20" s="15" t="s">
        <v>50</v>
      </c>
      <c r="C20" s="6">
        <v>7.15</v>
      </c>
      <c r="D20" s="6">
        <v>9.9499999999999993</v>
      </c>
      <c r="E20" s="6">
        <v>11.35</v>
      </c>
      <c r="F20" s="6">
        <v>42.15</v>
      </c>
      <c r="G20" s="6">
        <v>49.25</v>
      </c>
      <c r="H20" s="6">
        <v>56.25</v>
      </c>
      <c r="I20" s="6">
        <v>63.25</v>
      </c>
      <c r="J20" s="16">
        <v>70.25</v>
      </c>
    </row>
    <row r="21" spans="2:10" ht="15.75" thickBot="1" x14ac:dyDescent="0.3">
      <c r="B21" s="13" t="s">
        <v>51</v>
      </c>
      <c r="C21" s="5">
        <v>7.25</v>
      </c>
      <c r="D21" s="5">
        <v>10.15</v>
      </c>
      <c r="E21" s="5">
        <v>11.55</v>
      </c>
      <c r="F21" s="5">
        <v>45.05</v>
      </c>
      <c r="G21" s="5">
        <v>52.45</v>
      </c>
      <c r="H21" s="5">
        <v>59.95</v>
      </c>
      <c r="I21" s="5">
        <v>67.45</v>
      </c>
      <c r="J21" s="14">
        <v>74.95</v>
      </c>
    </row>
    <row r="22" spans="2:10" ht="15.75" thickBot="1" x14ac:dyDescent="0.3">
      <c r="B22" s="15" t="s">
        <v>52</v>
      </c>
      <c r="C22" s="6">
        <v>7.35</v>
      </c>
      <c r="D22" s="6">
        <v>10.35</v>
      </c>
      <c r="E22" s="6">
        <v>11.75</v>
      </c>
      <c r="F22" s="6">
        <v>48.55</v>
      </c>
      <c r="G22" s="6">
        <v>56.05</v>
      </c>
      <c r="H22" s="6">
        <v>63.55</v>
      </c>
      <c r="I22" s="6">
        <v>70.75</v>
      </c>
      <c r="J22" s="16">
        <v>78.650000000000006</v>
      </c>
    </row>
    <row r="23" spans="2:10" ht="15.75" thickBot="1" x14ac:dyDescent="0.3">
      <c r="B23" s="13" t="s">
        <v>53</v>
      </c>
      <c r="C23" s="5">
        <v>7.45</v>
      </c>
      <c r="D23" s="5">
        <v>10.55</v>
      </c>
      <c r="E23" s="5">
        <v>11.95</v>
      </c>
      <c r="F23" s="5">
        <v>54.75</v>
      </c>
      <c r="G23" s="5">
        <v>63.85</v>
      </c>
      <c r="H23" s="5">
        <v>72.95</v>
      </c>
      <c r="I23" s="5">
        <v>82.05</v>
      </c>
      <c r="J23" s="14">
        <v>91.15</v>
      </c>
    </row>
    <row r="24" spans="2:10" ht="15.75" thickBot="1" x14ac:dyDescent="0.3">
      <c r="B24" s="15" t="s">
        <v>54</v>
      </c>
      <c r="C24" s="6">
        <v>7.65</v>
      </c>
      <c r="D24" s="6">
        <v>10.95</v>
      </c>
      <c r="E24" s="6">
        <v>12.15</v>
      </c>
      <c r="F24" s="6">
        <v>64.05</v>
      </c>
      <c r="G24" s="6">
        <v>75.05</v>
      </c>
      <c r="H24" s="6">
        <v>84.75</v>
      </c>
      <c r="I24" s="6">
        <v>95.35</v>
      </c>
      <c r="J24" s="16">
        <v>105.95</v>
      </c>
    </row>
    <row r="25" spans="2:10" ht="15.75" thickBot="1" x14ac:dyDescent="0.3">
      <c r="B25" s="13" t="s">
        <v>55</v>
      </c>
      <c r="C25" s="5">
        <v>7.75</v>
      </c>
      <c r="D25" s="5">
        <v>11.15</v>
      </c>
      <c r="E25" s="5">
        <v>12.35</v>
      </c>
      <c r="F25" s="5">
        <v>65.95</v>
      </c>
      <c r="G25" s="5">
        <v>75.45</v>
      </c>
      <c r="H25" s="5">
        <v>85.55</v>
      </c>
      <c r="I25" s="5">
        <v>96.25</v>
      </c>
      <c r="J25" s="14">
        <v>106.95</v>
      </c>
    </row>
    <row r="26" spans="2:10" ht="15.75" thickBot="1" x14ac:dyDescent="0.3">
      <c r="B26" s="15" t="s">
        <v>56</v>
      </c>
      <c r="C26" s="6">
        <v>7.85</v>
      </c>
      <c r="D26" s="6">
        <v>11.35</v>
      </c>
      <c r="E26" s="6">
        <v>12.55</v>
      </c>
      <c r="F26" s="6">
        <v>67.75</v>
      </c>
      <c r="G26" s="6">
        <v>78.95</v>
      </c>
      <c r="H26" s="6">
        <v>88.95</v>
      </c>
      <c r="I26" s="6">
        <v>99.15</v>
      </c>
      <c r="J26" s="16">
        <v>107.05</v>
      </c>
    </row>
    <row r="27" spans="2:10" ht="15.75" thickBot="1" x14ac:dyDescent="0.3">
      <c r="B27" s="13" t="s">
        <v>57</v>
      </c>
      <c r="C27" s="5">
        <v>7.95</v>
      </c>
      <c r="D27" s="5">
        <v>11.55</v>
      </c>
      <c r="E27" s="5">
        <v>12.75</v>
      </c>
      <c r="F27" s="5">
        <v>70.25</v>
      </c>
      <c r="G27" s="5">
        <v>81.05</v>
      </c>
      <c r="H27" s="5">
        <v>92.05</v>
      </c>
      <c r="I27" s="5">
        <v>102.55</v>
      </c>
      <c r="J27" s="14">
        <v>110.75</v>
      </c>
    </row>
    <row r="28" spans="2:10" ht="15.75" thickBot="1" x14ac:dyDescent="0.3">
      <c r="B28" s="15" t="s">
        <v>58</v>
      </c>
      <c r="C28" s="6">
        <v>8.0500000000000007</v>
      </c>
      <c r="D28" s="6">
        <v>11.75</v>
      </c>
      <c r="E28" s="6">
        <v>12.95</v>
      </c>
      <c r="F28" s="6">
        <v>74.95</v>
      </c>
      <c r="G28" s="6">
        <v>86.45</v>
      </c>
      <c r="H28" s="6">
        <v>98.15</v>
      </c>
      <c r="I28" s="6">
        <v>109.35</v>
      </c>
      <c r="J28" s="16">
        <v>118.15</v>
      </c>
    </row>
    <row r="29" spans="2:10" ht="15.75" thickBot="1" x14ac:dyDescent="0.3">
      <c r="B29" s="13" t="s">
        <v>59</v>
      </c>
      <c r="C29" s="5">
        <v>8.15</v>
      </c>
      <c r="D29" s="5">
        <v>11.95</v>
      </c>
      <c r="E29" s="5">
        <v>13.15</v>
      </c>
      <c r="F29" s="5">
        <v>80.25</v>
      </c>
      <c r="G29" s="5">
        <v>92.95</v>
      </c>
      <c r="H29" s="5">
        <v>105.05</v>
      </c>
      <c r="I29" s="5">
        <v>117.15</v>
      </c>
      <c r="J29" s="14">
        <v>126.55</v>
      </c>
    </row>
    <row r="30" spans="2:10" ht="15.75" thickBot="1" x14ac:dyDescent="0.3">
      <c r="B30" s="15" t="s">
        <v>60</v>
      </c>
      <c r="C30" s="6">
        <v>8.25</v>
      </c>
      <c r="D30" s="6">
        <v>12.15</v>
      </c>
      <c r="E30" s="6">
        <v>13.35</v>
      </c>
      <c r="F30" s="6">
        <v>83.95</v>
      </c>
      <c r="G30" s="6">
        <v>97.05</v>
      </c>
      <c r="H30" s="6">
        <v>109.85</v>
      </c>
      <c r="I30" s="6">
        <v>122.45</v>
      </c>
      <c r="J30" s="16">
        <v>132.25</v>
      </c>
    </row>
    <row r="31" spans="2:10" ht="15.75" thickBot="1" x14ac:dyDescent="0.3">
      <c r="B31" s="13" t="s">
        <v>61</v>
      </c>
      <c r="C31" s="5">
        <v>8.35</v>
      </c>
      <c r="D31" s="5">
        <v>12.35</v>
      </c>
      <c r="E31" s="5">
        <v>13.55</v>
      </c>
      <c r="F31" s="5">
        <v>93.25</v>
      </c>
      <c r="G31" s="5">
        <v>107.45</v>
      </c>
      <c r="H31" s="5">
        <v>122.05</v>
      </c>
      <c r="I31" s="5">
        <v>136.05000000000001</v>
      </c>
      <c r="J31" s="14">
        <v>146.94999999999999</v>
      </c>
    </row>
    <row r="32" spans="2:10" ht="15.75" thickBot="1" x14ac:dyDescent="0.3">
      <c r="B32" s="15" t="s">
        <v>62</v>
      </c>
      <c r="C32" s="6">
        <v>8.4499999999999993</v>
      </c>
      <c r="D32" s="6">
        <v>12.55</v>
      </c>
      <c r="E32" s="6">
        <v>13.75</v>
      </c>
      <c r="F32" s="6">
        <v>106.55</v>
      </c>
      <c r="G32" s="6">
        <v>123.95</v>
      </c>
      <c r="H32" s="6">
        <v>139.55000000000001</v>
      </c>
      <c r="I32" s="6">
        <v>155.55000000000001</v>
      </c>
      <c r="J32" s="16">
        <v>167.95</v>
      </c>
    </row>
    <row r="33" spans="2:10" ht="15.75" thickBot="1" x14ac:dyDescent="0.3">
      <c r="B33" s="13" t="s">
        <v>63</v>
      </c>
      <c r="C33" s="5">
        <v>8.5500000000000007</v>
      </c>
      <c r="D33" s="5">
        <v>12.75</v>
      </c>
      <c r="E33" s="5">
        <v>13.95</v>
      </c>
      <c r="F33" s="5">
        <v>119.25</v>
      </c>
      <c r="G33" s="5">
        <v>138.05000000000001</v>
      </c>
      <c r="H33" s="5">
        <v>156.05000000000001</v>
      </c>
      <c r="I33" s="5">
        <v>173.95</v>
      </c>
      <c r="J33" s="14">
        <v>187.95</v>
      </c>
    </row>
    <row r="34" spans="2:10" ht="15.75" thickBot="1" x14ac:dyDescent="0.3">
      <c r="B34" s="15" t="s">
        <v>64</v>
      </c>
      <c r="C34" s="6">
        <v>8.65</v>
      </c>
      <c r="D34" s="6">
        <v>12.75</v>
      </c>
      <c r="E34" s="6">
        <v>14.15</v>
      </c>
      <c r="F34" s="6">
        <v>126.55</v>
      </c>
      <c r="G34" s="6">
        <v>146.15</v>
      </c>
      <c r="H34" s="6">
        <v>165.65</v>
      </c>
      <c r="I34" s="6">
        <v>184.65</v>
      </c>
      <c r="J34" s="16">
        <v>199.45</v>
      </c>
    </row>
    <row r="35" spans="2:10" ht="15.75" thickBot="1" x14ac:dyDescent="0.3">
      <c r="B35" s="17" t="s">
        <v>65</v>
      </c>
      <c r="C35" s="18">
        <v>8.75</v>
      </c>
      <c r="D35" s="18">
        <v>12.95</v>
      </c>
      <c r="E35" s="18">
        <v>14.35</v>
      </c>
      <c r="F35" s="18">
        <v>166.15</v>
      </c>
      <c r="G35" s="18">
        <v>192.45</v>
      </c>
      <c r="H35" s="18">
        <v>217.55</v>
      </c>
      <c r="I35" s="18">
        <v>242.55</v>
      </c>
      <c r="J35" s="19">
        <v>261.95</v>
      </c>
    </row>
    <row r="37" spans="2:10" x14ac:dyDescent="0.25">
      <c r="B37" s="8" t="s">
        <v>69</v>
      </c>
    </row>
    <row r="38" spans="2:10" ht="6.75" customHeight="1" thickBot="1" x14ac:dyDescent="0.3"/>
    <row r="39" spans="2:10" ht="15.75" thickBot="1" x14ac:dyDescent="0.3">
      <c r="B39" s="20" t="s">
        <v>70</v>
      </c>
      <c r="C39" s="21" t="s">
        <v>71</v>
      </c>
    </row>
    <row r="40" spans="2:10" ht="15.75" thickBot="1" x14ac:dyDescent="0.3">
      <c r="B40" s="22" t="s">
        <v>37</v>
      </c>
      <c r="C40" s="23">
        <v>12.35</v>
      </c>
    </row>
    <row r="41" spans="2:10" ht="15.75" thickBot="1" x14ac:dyDescent="0.3">
      <c r="B41" s="24" t="s">
        <v>38</v>
      </c>
      <c r="C41" s="25">
        <v>13.25</v>
      </c>
    </row>
    <row r="42" spans="2:10" ht="15.75" thickBot="1" x14ac:dyDescent="0.3">
      <c r="B42" s="22" t="s">
        <v>39</v>
      </c>
      <c r="C42" s="23">
        <v>13.85</v>
      </c>
    </row>
    <row r="43" spans="2:10" ht="15.75" thickBot="1" x14ac:dyDescent="0.3">
      <c r="B43" s="24" t="s">
        <v>40</v>
      </c>
      <c r="C43" s="25">
        <v>14.15</v>
      </c>
    </row>
    <row r="44" spans="2:10" ht="15.75" thickBot="1" x14ac:dyDescent="0.3">
      <c r="B44" s="22" t="s">
        <v>41</v>
      </c>
      <c r="C44" s="23">
        <v>14.45</v>
      </c>
    </row>
    <row r="45" spans="2:10" ht="15.75" thickBot="1" x14ac:dyDescent="0.3">
      <c r="B45" s="24" t="s">
        <v>42</v>
      </c>
      <c r="C45" s="25">
        <v>15.75</v>
      </c>
    </row>
    <row r="46" spans="2:10" ht="15.75" thickBot="1" x14ac:dyDescent="0.3">
      <c r="B46" s="22" t="s">
        <v>43</v>
      </c>
      <c r="C46" s="23">
        <v>17.05</v>
      </c>
    </row>
    <row r="47" spans="2:10" ht="15.75" thickBot="1" x14ac:dyDescent="0.3">
      <c r="B47" s="24" t="s">
        <v>44</v>
      </c>
      <c r="C47" s="25">
        <v>18.45</v>
      </c>
    </row>
    <row r="48" spans="2:10" ht="15.75" thickBot="1" x14ac:dyDescent="0.3">
      <c r="B48" s="22" t="s">
        <v>45</v>
      </c>
      <c r="C48" s="23">
        <v>25.45</v>
      </c>
    </row>
    <row r="49" spans="2:3" ht="15.75" thickBot="1" x14ac:dyDescent="0.3">
      <c r="B49" s="24" t="s">
        <v>46</v>
      </c>
      <c r="C49" s="25">
        <v>27.05</v>
      </c>
    </row>
    <row r="50" spans="2:3" ht="15.75" thickBot="1" x14ac:dyDescent="0.3">
      <c r="B50" s="22" t="s">
        <v>47</v>
      </c>
      <c r="C50" s="23">
        <v>28.85</v>
      </c>
    </row>
    <row r="51" spans="2:3" ht="15.75" thickBot="1" x14ac:dyDescent="0.3">
      <c r="B51" s="24" t="s">
        <v>48</v>
      </c>
      <c r="C51" s="25">
        <v>29.65</v>
      </c>
    </row>
    <row r="52" spans="2:3" ht="15.75" thickBot="1" x14ac:dyDescent="0.3">
      <c r="B52" s="22" t="s">
        <v>49</v>
      </c>
      <c r="C52" s="23">
        <v>41.25</v>
      </c>
    </row>
    <row r="53" spans="2:3" ht="15.75" thickBot="1" x14ac:dyDescent="0.3">
      <c r="B53" s="24" t="s">
        <v>50</v>
      </c>
      <c r="C53" s="25">
        <v>42.15</v>
      </c>
    </row>
    <row r="54" spans="2:3" ht="15.75" thickBot="1" x14ac:dyDescent="0.3">
      <c r="B54" s="22" t="s">
        <v>51</v>
      </c>
      <c r="C54" s="23">
        <v>45.05</v>
      </c>
    </row>
    <row r="55" spans="2:3" ht="15.75" thickBot="1" x14ac:dyDescent="0.3">
      <c r="B55" s="24" t="s">
        <v>52</v>
      </c>
      <c r="C55" s="25">
        <v>48.55</v>
      </c>
    </row>
    <row r="56" spans="2:3" ht="15.75" thickBot="1" x14ac:dyDescent="0.3">
      <c r="B56" s="22" t="s">
        <v>53</v>
      </c>
      <c r="C56" s="23">
        <v>54.75</v>
      </c>
    </row>
    <row r="57" spans="2:3" ht="15.75" thickBot="1" x14ac:dyDescent="0.3">
      <c r="B57" s="24" t="s">
        <v>54</v>
      </c>
      <c r="C57" s="25">
        <v>64.05</v>
      </c>
    </row>
    <row r="58" spans="2:3" ht="15.75" thickBot="1" x14ac:dyDescent="0.3">
      <c r="B58" s="22" t="s">
        <v>55</v>
      </c>
      <c r="C58" s="23">
        <v>65.95</v>
      </c>
    </row>
    <row r="59" spans="2:3" ht="15.75" thickBot="1" x14ac:dyDescent="0.3">
      <c r="B59" s="24" t="s">
        <v>56</v>
      </c>
      <c r="C59" s="25">
        <v>67.75</v>
      </c>
    </row>
    <row r="60" spans="2:3" ht="15.75" thickBot="1" x14ac:dyDescent="0.3">
      <c r="B60" s="22" t="s">
        <v>57</v>
      </c>
      <c r="C60" s="23">
        <v>70.25</v>
      </c>
    </row>
    <row r="61" spans="2:3" ht="15.75" thickBot="1" x14ac:dyDescent="0.3">
      <c r="B61" s="24" t="s">
        <v>58</v>
      </c>
      <c r="C61" s="25">
        <v>74.95</v>
      </c>
    </row>
    <row r="62" spans="2:3" ht="15.75" thickBot="1" x14ac:dyDescent="0.3">
      <c r="B62" s="22" t="s">
        <v>59</v>
      </c>
      <c r="C62" s="23">
        <v>80.25</v>
      </c>
    </row>
    <row r="63" spans="2:3" ht="15.75" thickBot="1" x14ac:dyDescent="0.3">
      <c r="B63" s="24" t="s">
        <v>60</v>
      </c>
      <c r="C63" s="25">
        <v>83.95</v>
      </c>
    </row>
    <row r="64" spans="2:3" ht="15.75" thickBot="1" x14ac:dyDescent="0.3">
      <c r="B64" s="22" t="s">
        <v>61</v>
      </c>
      <c r="C64" s="23">
        <v>93.25</v>
      </c>
    </row>
    <row r="65" spans="2:3" ht="15.75" thickBot="1" x14ac:dyDescent="0.3">
      <c r="B65" s="24" t="s">
        <v>62</v>
      </c>
      <c r="C65" s="25">
        <v>106.55</v>
      </c>
    </row>
    <row r="66" spans="2:3" ht="15.75" thickBot="1" x14ac:dyDescent="0.3">
      <c r="B66" s="22" t="s">
        <v>63</v>
      </c>
      <c r="C66" s="23">
        <v>119.25</v>
      </c>
    </row>
    <row r="67" spans="2:3" ht="15.75" thickBot="1" x14ac:dyDescent="0.3">
      <c r="B67" s="24" t="s">
        <v>64</v>
      </c>
      <c r="C67" s="25">
        <v>126.55</v>
      </c>
    </row>
    <row r="68" spans="2:3" ht="15.75" thickBot="1" x14ac:dyDescent="0.3">
      <c r="B68" s="26" t="s">
        <v>65</v>
      </c>
      <c r="C68" s="27">
        <v>166.15</v>
      </c>
    </row>
  </sheetData>
  <hyperlinks>
    <hyperlink ref="B1" r:id="rId1" xr:uid="{9F5DC670-3515-4E9B-B203-43ECD7EAC563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9978-25CB-419D-9347-11B2BBC90922}">
  <dimension ref="A1:D144"/>
  <sheetViews>
    <sheetView showGridLines="0" tabSelected="1" workbookViewId="0">
      <pane ySplit="4" topLeftCell="A136" activePane="bottomLeft" state="frozen"/>
      <selection pane="bottomLeft" activeCell="E30" sqref="E30"/>
    </sheetView>
  </sheetViews>
  <sheetFormatPr defaultRowHeight="15" x14ac:dyDescent="0.25"/>
  <cols>
    <col min="1" max="1" width="23.85546875" customWidth="1"/>
    <col min="2" max="2" width="32.42578125" customWidth="1"/>
    <col min="3" max="3" width="89.5703125" customWidth="1"/>
    <col min="4" max="4" width="49.5703125" customWidth="1"/>
  </cols>
  <sheetData>
    <row r="1" spans="1:4" ht="94.5" customHeight="1" x14ac:dyDescent="0.3">
      <c r="A1" s="125" t="s">
        <v>191</v>
      </c>
      <c r="B1" s="125"/>
      <c r="C1" s="125"/>
      <c r="D1" s="125"/>
    </row>
    <row r="2" spans="1:4" ht="148.5" x14ac:dyDescent="0.25">
      <c r="A2" s="124" t="s">
        <v>192</v>
      </c>
      <c r="B2" s="124" t="s">
        <v>193</v>
      </c>
      <c r="C2" s="124" t="s">
        <v>194</v>
      </c>
      <c r="D2" s="124" t="s">
        <v>195</v>
      </c>
    </row>
    <row r="3" spans="1:4" x14ac:dyDescent="0.25">
      <c r="A3" s="124"/>
      <c r="B3" s="124"/>
      <c r="C3" s="124"/>
      <c r="D3" s="124"/>
    </row>
    <row r="4" spans="1:4" ht="54" x14ac:dyDescent="0.25">
      <c r="A4" s="126" t="s">
        <v>196</v>
      </c>
      <c r="B4" s="126" t="s">
        <v>197</v>
      </c>
      <c r="C4" s="126" t="s">
        <v>198</v>
      </c>
      <c r="D4" s="126" t="s">
        <v>199</v>
      </c>
    </row>
    <row r="5" spans="1:4" ht="108" x14ac:dyDescent="0.25">
      <c r="A5" s="124" t="s">
        <v>200</v>
      </c>
      <c r="B5" s="124" t="s">
        <v>201</v>
      </c>
      <c r="C5" s="124" t="s">
        <v>202</v>
      </c>
      <c r="D5" s="124" t="s">
        <v>203</v>
      </c>
    </row>
    <row r="6" spans="1:4" ht="108" x14ac:dyDescent="0.25">
      <c r="A6" s="124" t="s">
        <v>200</v>
      </c>
      <c r="B6" s="124" t="s">
        <v>204</v>
      </c>
      <c r="C6" s="124" t="s">
        <v>205</v>
      </c>
      <c r="D6" s="124" t="s">
        <v>206</v>
      </c>
    </row>
    <row r="7" spans="1:4" ht="121.5" x14ac:dyDescent="0.25">
      <c r="A7" s="124" t="s">
        <v>200</v>
      </c>
      <c r="B7" s="124" t="s">
        <v>207</v>
      </c>
      <c r="C7" s="124" t="s">
        <v>208</v>
      </c>
      <c r="D7" s="124" t="s">
        <v>209</v>
      </c>
    </row>
    <row r="8" spans="1:4" ht="94.5" x14ac:dyDescent="0.25">
      <c r="A8" s="124" t="s">
        <v>200</v>
      </c>
      <c r="B8" s="124" t="s">
        <v>210</v>
      </c>
      <c r="C8" s="124" t="s">
        <v>211</v>
      </c>
      <c r="D8" s="124" t="s">
        <v>212</v>
      </c>
    </row>
    <row r="9" spans="1:4" ht="81" x14ac:dyDescent="0.25">
      <c r="A9" s="124" t="s">
        <v>200</v>
      </c>
      <c r="B9" s="124" t="s">
        <v>213</v>
      </c>
      <c r="C9" s="124" t="s">
        <v>214</v>
      </c>
      <c r="D9" s="124" t="s">
        <v>215</v>
      </c>
    </row>
    <row r="10" spans="1:4" ht="148.5" x14ac:dyDescent="0.25">
      <c r="A10" s="124" t="s">
        <v>216</v>
      </c>
      <c r="B10" s="124" t="s">
        <v>217</v>
      </c>
      <c r="C10" s="124" t="s">
        <v>218</v>
      </c>
      <c r="D10" s="124" t="s">
        <v>219</v>
      </c>
    </row>
    <row r="11" spans="1:4" ht="121.5" x14ac:dyDescent="0.25">
      <c r="A11" s="124" t="s">
        <v>216</v>
      </c>
      <c r="B11" s="124" t="s">
        <v>220</v>
      </c>
      <c r="C11" s="124" t="s">
        <v>221</v>
      </c>
      <c r="D11" s="124" t="s">
        <v>222</v>
      </c>
    </row>
    <row r="12" spans="1:4" ht="94.5" x14ac:dyDescent="0.25">
      <c r="A12" s="124" t="s">
        <v>216</v>
      </c>
      <c r="B12" s="124" t="s">
        <v>223</v>
      </c>
      <c r="C12" s="124" t="s">
        <v>224</v>
      </c>
      <c r="D12" s="124" t="s">
        <v>225</v>
      </c>
    </row>
    <row r="13" spans="1:4" ht="94.5" x14ac:dyDescent="0.25">
      <c r="A13" s="124" t="s">
        <v>216</v>
      </c>
      <c r="B13" s="124" t="s">
        <v>226</v>
      </c>
      <c r="C13" s="124" t="s">
        <v>227</v>
      </c>
      <c r="D13" s="124" t="s">
        <v>228</v>
      </c>
    </row>
    <row r="14" spans="1:4" ht="67.5" x14ac:dyDescent="0.25">
      <c r="A14" s="124" t="s">
        <v>216</v>
      </c>
      <c r="B14" s="124" t="s">
        <v>229</v>
      </c>
      <c r="C14" s="124" t="s">
        <v>230</v>
      </c>
      <c r="D14" s="124" t="s">
        <v>231</v>
      </c>
    </row>
    <row r="15" spans="1:4" ht="121.5" x14ac:dyDescent="0.25">
      <c r="A15" s="124" t="s">
        <v>216</v>
      </c>
      <c r="B15" s="124" t="s">
        <v>232</v>
      </c>
      <c r="C15" s="124" t="s">
        <v>233</v>
      </c>
      <c r="D15" s="124" t="s">
        <v>234</v>
      </c>
    </row>
    <row r="16" spans="1:4" ht="148.5" x14ac:dyDescent="0.25">
      <c r="A16" s="124" t="s">
        <v>235</v>
      </c>
      <c r="B16" s="124" t="s">
        <v>236</v>
      </c>
      <c r="C16" s="124" t="s">
        <v>237</v>
      </c>
      <c r="D16" s="124" t="s">
        <v>238</v>
      </c>
    </row>
    <row r="17" spans="1:4" ht="94.5" x14ac:dyDescent="0.25">
      <c r="A17" s="124" t="s">
        <v>235</v>
      </c>
      <c r="B17" s="124" t="s">
        <v>239</v>
      </c>
      <c r="C17" s="124" t="s">
        <v>240</v>
      </c>
      <c r="D17" s="124" t="s">
        <v>241</v>
      </c>
    </row>
    <row r="18" spans="1:4" ht="121.5" x14ac:dyDescent="0.25">
      <c r="A18" s="124" t="s">
        <v>235</v>
      </c>
      <c r="B18" s="124" t="s">
        <v>242</v>
      </c>
      <c r="C18" s="124" t="s">
        <v>243</v>
      </c>
      <c r="D18" s="124" t="s">
        <v>244</v>
      </c>
    </row>
    <row r="19" spans="1:4" ht="135" x14ac:dyDescent="0.25">
      <c r="A19" s="124" t="s">
        <v>235</v>
      </c>
      <c r="B19" s="124" t="s">
        <v>245</v>
      </c>
      <c r="C19" s="124" t="s">
        <v>246</v>
      </c>
      <c r="D19" s="124" t="s">
        <v>247</v>
      </c>
    </row>
    <row r="20" spans="1:4" ht="94.5" x14ac:dyDescent="0.25">
      <c r="A20" s="124" t="s">
        <v>235</v>
      </c>
      <c r="B20" s="124" t="s">
        <v>248</v>
      </c>
      <c r="C20" s="124" t="s">
        <v>249</v>
      </c>
      <c r="D20" s="124" t="s">
        <v>250</v>
      </c>
    </row>
    <row r="21" spans="1:4" ht="135" x14ac:dyDescent="0.25">
      <c r="A21" s="124" t="s">
        <v>235</v>
      </c>
      <c r="B21" s="124" t="s">
        <v>251</v>
      </c>
      <c r="C21" s="124" t="s">
        <v>252</v>
      </c>
      <c r="D21" s="124" t="s">
        <v>253</v>
      </c>
    </row>
    <row r="22" spans="1:4" ht="121.5" x14ac:dyDescent="0.25">
      <c r="A22" s="124" t="s">
        <v>254</v>
      </c>
      <c r="B22" s="124" t="s">
        <v>255</v>
      </c>
      <c r="C22" s="124" t="s">
        <v>256</v>
      </c>
      <c r="D22" s="124" t="s">
        <v>257</v>
      </c>
    </row>
    <row r="23" spans="1:4" ht="121.5" x14ac:dyDescent="0.25">
      <c r="A23" s="124" t="s">
        <v>254</v>
      </c>
      <c r="B23" s="124" t="s">
        <v>258</v>
      </c>
      <c r="C23" s="124" t="s">
        <v>259</v>
      </c>
      <c r="D23" s="124" t="s">
        <v>260</v>
      </c>
    </row>
    <row r="24" spans="1:4" ht="189" x14ac:dyDescent="0.25">
      <c r="A24" s="124" t="s">
        <v>254</v>
      </c>
      <c r="B24" s="124" t="s">
        <v>261</v>
      </c>
      <c r="C24" s="124" t="s">
        <v>262</v>
      </c>
      <c r="D24" s="124" t="s">
        <v>263</v>
      </c>
    </row>
    <row r="25" spans="1:4" ht="256.5" x14ac:dyDescent="0.25">
      <c r="A25" s="124" t="s">
        <v>254</v>
      </c>
      <c r="B25" s="124" t="s">
        <v>264</v>
      </c>
      <c r="C25" s="124" t="s">
        <v>265</v>
      </c>
      <c r="D25" s="124" t="s">
        <v>266</v>
      </c>
    </row>
    <row r="26" spans="1:4" ht="202.5" x14ac:dyDescent="0.25">
      <c r="A26" s="124" t="s">
        <v>254</v>
      </c>
      <c r="B26" s="124" t="s">
        <v>267</v>
      </c>
      <c r="C26" s="124" t="s">
        <v>268</v>
      </c>
      <c r="D26" s="124" t="s">
        <v>269</v>
      </c>
    </row>
    <row r="27" spans="1:4" ht="175.5" x14ac:dyDescent="0.25">
      <c r="A27" s="124" t="s">
        <v>254</v>
      </c>
      <c r="B27" s="124" t="s">
        <v>270</v>
      </c>
      <c r="C27" s="124" t="s">
        <v>271</v>
      </c>
      <c r="D27" s="124" t="s">
        <v>272</v>
      </c>
    </row>
    <row r="28" spans="1:4" ht="108" x14ac:dyDescent="0.25">
      <c r="A28" s="124" t="s">
        <v>254</v>
      </c>
      <c r="B28" s="124" t="s">
        <v>273</v>
      </c>
      <c r="C28" s="124" t="s">
        <v>274</v>
      </c>
      <c r="D28" s="124" t="s">
        <v>275</v>
      </c>
    </row>
    <row r="29" spans="1:4" ht="121.5" x14ac:dyDescent="0.25">
      <c r="A29" s="124" t="s">
        <v>276</v>
      </c>
      <c r="B29" s="124" t="s">
        <v>277</v>
      </c>
      <c r="C29" s="124" t="s">
        <v>278</v>
      </c>
      <c r="D29" s="124" t="s">
        <v>279</v>
      </c>
    </row>
    <row r="30" spans="1:4" ht="40.5" x14ac:dyDescent="0.25">
      <c r="A30" s="124" t="s">
        <v>276</v>
      </c>
      <c r="B30" s="124" t="s">
        <v>280</v>
      </c>
      <c r="C30" s="124" t="s">
        <v>281</v>
      </c>
      <c r="D30" s="124" t="s">
        <v>282</v>
      </c>
    </row>
    <row r="31" spans="1:4" ht="67.5" x14ac:dyDescent="0.25">
      <c r="A31" s="124" t="s">
        <v>276</v>
      </c>
      <c r="B31" s="124" t="s">
        <v>283</v>
      </c>
      <c r="C31" s="124" t="s">
        <v>284</v>
      </c>
      <c r="D31" s="124" t="s">
        <v>285</v>
      </c>
    </row>
    <row r="32" spans="1:4" ht="67.5" x14ac:dyDescent="0.25">
      <c r="A32" s="124" t="s">
        <v>276</v>
      </c>
      <c r="B32" s="124" t="s">
        <v>286</v>
      </c>
      <c r="C32" s="124" t="s">
        <v>287</v>
      </c>
      <c r="D32" s="124" t="s">
        <v>264</v>
      </c>
    </row>
    <row r="33" spans="1:4" ht="54" x14ac:dyDescent="0.25">
      <c r="A33" s="124" t="s">
        <v>276</v>
      </c>
      <c r="B33" s="124" t="s">
        <v>288</v>
      </c>
      <c r="C33" s="124" t="s">
        <v>289</v>
      </c>
      <c r="D33" s="124" t="s">
        <v>290</v>
      </c>
    </row>
    <row r="34" spans="1:4" ht="54" x14ac:dyDescent="0.25">
      <c r="A34" s="124" t="s">
        <v>276</v>
      </c>
      <c r="B34" s="124" t="s">
        <v>291</v>
      </c>
      <c r="C34" s="124" t="s">
        <v>292</v>
      </c>
      <c r="D34" s="124" t="s">
        <v>293</v>
      </c>
    </row>
    <row r="35" spans="1:4" ht="81" x14ac:dyDescent="0.25">
      <c r="A35" s="124" t="s">
        <v>294</v>
      </c>
      <c r="B35" s="124" t="s">
        <v>295</v>
      </c>
      <c r="C35" s="124" t="s">
        <v>296</v>
      </c>
      <c r="D35" s="124" t="s">
        <v>297</v>
      </c>
    </row>
    <row r="36" spans="1:4" ht="108" x14ac:dyDescent="0.25">
      <c r="A36" s="124" t="s">
        <v>294</v>
      </c>
      <c r="B36" s="124" t="s">
        <v>298</v>
      </c>
      <c r="C36" s="124" t="s">
        <v>299</v>
      </c>
      <c r="D36" s="124" t="s">
        <v>300</v>
      </c>
    </row>
    <row r="37" spans="1:4" ht="108" x14ac:dyDescent="0.25">
      <c r="A37" s="124" t="s">
        <v>294</v>
      </c>
      <c r="B37" s="124" t="s">
        <v>301</v>
      </c>
      <c r="C37" s="124" t="s">
        <v>302</v>
      </c>
      <c r="D37" s="124" t="s">
        <v>303</v>
      </c>
    </row>
    <row r="38" spans="1:4" ht="81" x14ac:dyDescent="0.25">
      <c r="A38" s="124" t="s">
        <v>294</v>
      </c>
      <c r="B38" s="124" t="s">
        <v>304</v>
      </c>
      <c r="C38" s="124" t="s">
        <v>305</v>
      </c>
      <c r="D38" s="124" t="s">
        <v>306</v>
      </c>
    </row>
    <row r="39" spans="1:4" ht="94.5" x14ac:dyDescent="0.25">
      <c r="A39" s="124" t="s">
        <v>294</v>
      </c>
      <c r="B39" s="124" t="s">
        <v>307</v>
      </c>
      <c r="C39" s="124" t="s">
        <v>308</v>
      </c>
      <c r="D39" s="124" t="s">
        <v>309</v>
      </c>
    </row>
    <row r="40" spans="1:4" ht="162" x14ac:dyDescent="0.25">
      <c r="A40" s="124" t="s">
        <v>310</v>
      </c>
      <c r="B40" s="124" t="s">
        <v>311</v>
      </c>
      <c r="C40" s="124" t="s">
        <v>312</v>
      </c>
      <c r="D40" s="124" t="s">
        <v>313</v>
      </c>
    </row>
    <row r="41" spans="1:4" ht="108" x14ac:dyDescent="0.25">
      <c r="A41" s="124" t="s">
        <v>310</v>
      </c>
      <c r="B41" s="124" t="s">
        <v>314</v>
      </c>
      <c r="C41" s="124" t="s">
        <v>315</v>
      </c>
      <c r="D41" s="124" t="s">
        <v>316</v>
      </c>
    </row>
    <row r="42" spans="1:4" ht="121.5" x14ac:dyDescent="0.25">
      <c r="A42" s="124" t="s">
        <v>310</v>
      </c>
      <c r="B42" s="124" t="s">
        <v>317</v>
      </c>
      <c r="C42" s="124" t="s">
        <v>318</v>
      </c>
      <c r="D42" s="124" t="s">
        <v>319</v>
      </c>
    </row>
    <row r="43" spans="1:4" ht="148.5" x14ac:dyDescent="0.25">
      <c r="A43" s="124" t="s">
        <v>320</v>
      </c>
      <c r="B43" s="124" t="s">
        <v>321</v>
      </c>
      <c r="C43" s="124" t="s">
        <v>322</v>
      </c>
      <c r="D43" s="124" t="s">
        <v>323</v>
      </c>
    </row>
    <row r="44" spans="1:4" ht="108" x14ac:dyDescent="0.25">
      <c r="A44" s="124" t="s">
        <v>320</v>
      </c>
      <c r="B44" s="124" t="s">
        <v>324</v>
      </c>
      <c r="C44" s="124" t="s">
        <v>325</v>
      </c>
      <c r="D44" s="124" t="s">
        <v>323</v>
      </c>
    </row>
    <row r="45" spans="1:4" ht="121.5" x14ac:dyDescent="0.25">
      <c r="A45" s="124" t="s">
        <v>320</v>
      </c>
      <c r="B45" s="124" t="s">
        <v>326</v>
      </c>
      <c r="C45" s="124" t="s">
        <v>327</v>
      </c>
      <c r="D45" s="124" t="s">
        <v>323</v>
      </c>
    </row>
    <row r="46" spans="1:4" ht="108" x14ac:dyDescent="0.25">
      <c r="A46" s="124" t="s">
        <v>320</v>
      </c>
      <c r="B46" s="124" t="s">
        <v>328</v>
      </c>
      <c r="C46" s="124" t="s">
        <v>329</v>
      </c>
      <c r="D46" s="124" t="s">
        <v>330</v>
      </c>
    </row>
    <row r="47" spans="1:4" ht="108" x14ac:dyDescent="0.25">
      <c r="A47" s="124" t="s">
        <v>320</v>
      </c>
      <c r="B47" s="124" t="s">
        <v>331</v>
      </c>
      <c r="C47" s="124" t="s">
        <v>332</v>
      </c>
      <c r="D47" s="124" t="s">
        <v>330</v>
      </c>
    </row>
    <row r="48" spans="1:4" ht="135" x14ac:dyDescent="0.25">
      <c r="A48" s="124" t="s">
        <v>333</v>
      </c>
      <c r="B48" s="124" t="s">
        <v>74</v>
      </c>
      <c r="C48" s="124" t="s">
        <v>334</v>
      </c>
      <c r="D48" s="124" t="s">
        <v>335</v>
      </c>
    </row>
    <row r="49" spans="1:4" ht="162" x14ac:dyDescent="0.25">
      <c r="A49" s="124" t="s">
        <v>333</v>
      </c>
      <c r="B49" s="124" t="s">
        <v>336</v>
      </c>
      <c r="C49" s="124" t="s">
        <v>337</v>
      </c>
      <c r="D49" s="124" t="s">
        <v>338</v>
      </c>
    </row>
    <row r="50" spans="1:4" ht="108" x14ac:dyDescent="0.25">
      <c r="A50" s="124" t="s">
        <v>333</v>
      </c>
      <c r="B50" s="124" t="s">
        <v>339</v>
      </c>
      <c r="C50" s="124" t="s">
        <v>340</v>
      </c>
      <c r="D50" s="124" t="s">
        <v>341</v>
      </c>
    </row>
    <row r="51" spans="1:4" ht="121.5" x14ac:dyDescent="0.25">
      <c r="A51" s="124" t="s">
        <v>333</v>
      </c>
      <c r="B51" s="124" t="s">
        <v>342</v>
      </c>
      <c r="C51" s="124" t="s">
        <v>343</v>
      </c>
      <c r="D51" s="124" t="s">
        <v>241</v>
      </c>
    </row>
    <row r="52" spans="1:4" ht="175.5" x14ac:dyDescent="0.25">
      <c r="A52" s="124" t="s">
        <v>344</v>
      </c>
      <c r="B52" s="124" t="s">
        <v>345</v>
      </c>
      <c r="C52" s="124" t="s">
        <v>346</v>
      </c>
      <c r="D52" s="124" t="s">
        <v>347</v>
      </c>
    </row>
    <row r="54" spans="1:4" ht="40.5" customHeight="1" x14ac:dyDescent="0.3">
      <c r="A54" s="127" t="s">
        <v>348</v>
      </c>
      <c r="B54" s="127"/>
      <c r="C54" s="127"/>
      <c r="D54" s="127"/>
    </row>
    <row r="55" spans="1:4" ht="27" x14ac:dyDescent="0.25">
      <c r="A55" s="128" t="s">
        <v>349</v>
      </c>
      <c r="B55" s="128" t="s">
        <v>350</v>
      </c>
      <c r="C55" s="128" t="s">
        <v>351</v>
      </c>
      <c r="D55" s="128" t="s">
        <v>352</v>
      </c>
    </row>
    <row r="56" spans="1:4" x14ac:dyDescent="0.25">
      <c r="A56" s="128"/>
      <c r="B56" s="128"/>
      <c r="C56" s="128"/>
      <c r="D56" s="128"/>
    </row>
    <row r="57" spans="1:4" x14ac:dyDescent="0.25">
      <c r="A57" s="129" t="s">
        <v>353</v>
      </c>
      <c r="B57" s="129" t="s">
        <v>354</v>
      </c>
      <c r="C57" s="129" t="s">
        <v>355</v>
      </c>
      <c r="D57" s="129" t="s">
        <v>356</v>
      </c>
    </row>
    <row r="58" spans="1:4" ht="40.5" x14ac:dyDescent="0.25">
      <c r="A58" s="128" t="s">
        <v>357</v>
      </c>
      <c r="B58" s="128" t="s">
        <v>358</v>
      </c>
      <c r="C58" s="128" t="s">
        <v>359</v>
      </c>
      <c r="D58" s="128" t="s">
        <v>360</v>
      </c>
    </row>
    <row r="59" spans="1:4" ht="27" x14ac:dyDescent="0.25">
      <c r="A59" s="128" t="s">
        <v>361</v>
      </c>
      <c r="B59" s="128" t="s">
        <v>362</v>
      </c>
      <c r="C59" s="128" t="s">
        <v>363</v>
      </c>
      <c r="D59" s="128" t="s">
        <v>364</v>
      </c>
    </row>
    <row r="60" spans="1:4" ht="27" x14ac:dyDescent="0.25">
      <c r="A60" s="128" t="s">
        <v>361</v>
      </c>
      <c r="B60" s="128" t="s">
        <v>365</v>
      </c>
      <c r="C60" s="128" t="s">
        <v>366</v>
      </c>
      <c r="D60" s="128" t="s">
        <v>367</v>
      </c>
    </row>
    <row r="61" spans="1:4" ht="27" x14ac:dyDescent="0.25">
      <c r="A61" s="128" t="s">
        <v>361</v>
      </c>
      <c r="B61" s="128" t="s">
        <v>368</v>
      </c>
      <c r="C61" s="128" t="s">
        <v>369</v>
      </c>
      <c r="D61" s="128" t="s">
        <v>370</v>
      </c>
    </row>
    <row r="62" spans="1:4" ht="27" x14ac:dyDescent="0.25">
      <c r="A62" s="128" t="s">
        <v>361</v>
      </c>
      <c r="B62" s="128" t="s">
        <v>371</v>
      </c>
      <c r="C62" s="128" t="s">
        <v>372</v>
      </c>
      <c r="D62" s="128" t="s">
        <v>373</v>
      </c>
    </row>
    <row r="63" spans="1:4" x14ac:dyDescent="0.25">
      <c r="A63" s="128" t="s">
        <v>374</v>
      </c>
      <c r="B63" s="128" t="s">
        <v>375</v>
      </c>
      <c r="C63" s="128" t="s">
        <v>376</v>
      </c>
      <c r="D63" s="128" t="s">
        <v>377</v>
      </c>
    </row>
    <row r="64" spans="1:4" ht="27" x14ac:dyDescent="0.25">
      <c r="A64" s="128" t="s">
        <v>374</v>
      </c>
      <c r="B64" s="128" t="s">
        <v>378</v>
      </c>
      <c r="C64" s="128" t="s">
        <v>379</v>
      </c>
      <c r="D64" s="128" t="s">
        <v>380</v>
      </c>
    </row>
    <row r="65" spans="1:4" ht="27" x14ac:dyDescent="0.25">
      <c r="A65" s="128" t="s">
        <v>374</v>
      </c>
      <c r="B65" s="128" t="s">
        <v>208</v>
      </c>
      <c r="C65" s="128" t="s">
        <v>381</v>
      </c>
      <c r="D65" s="128" t="s">
        <v>382</v>
      </c>
    </row>
    <row r="66" spans="1:4" ht="27" x14ac:dyDescent="0.25">
      <c r="A66" s="128" t="s">
        <v>374</v>
      </c>
      <c r="B66" s="128" t="s">
        <v>383</v>
      </c>
      <c r="C66" s="128" t="s">
        <v>384</v>
      </c>
      <c r="D66" s="128" t="s">
        <v>385</v>
      </c>
    </row>
    <row r="67" spans="1:4" x14ac:dyDescent="0.25">
      <c r="A67" s="128" t="s">
        <v>386</v>
      </c>
      <c r="B67" s="128" t="s">
        <v>309</v>
      </c>
      <c r="C67" s="128" t="s">
        <v>387</v>
      </c>
      <c r="D67" s="128" t="s">
        <v>388</v>
      </c>
    </row>
    <row r="68" spans="1:4" ht="27" x14ac:dyDescent="0.25">
      <c r="A68" s="128" t="s">
        <v>389</v>
      </c>
      <c r="B68" s="128" t="s">
        <v>390</v>
      </c>
      <c r="C68" s="128" t="s">
        <v>391</v>
      </c>
      <c r="D68" s="128" t="s">
        <v>392</v>
      </c>
    </row>
    <row r="69" spans="1:4" ht="27" x14ac:dyDescent="0.25">
      <c r="A69" s="128" t="s">
        <v>389</v>
      </c>
      <c r="B69" s="128" t="s">
        <v>393</v>
      </c>
      <c r="C69" s="128" t="s">
        <v>394</v>
      </c>
      <c r="D69" s="128" t="s">
        <v>395</v>
      </c>
    </row>
    <row r="70" spans="1:4" ht="27" x14ac:dyDescent="0.25">
      <c r="A70" s="128" t="s">
        <v>389</v>
      </c>
      <c r="B70" s="128" t="s">
        <v>396</v>
      </c>
      <c r="C70" s="128" t="s">
        <v>397</v>
      </c>
      <c r="D70" s="128" t="s">
        <v>398</v>
      </c>
    </row>
    <row r="71" spans="1:4" x14ac:dyDescent="0.25">
      <c r="A71" s="128" t="s">
        <v>389</v>
      </c>
      <c r="B71" s="128" t="s">
        <v>399</v>
      </c>
      <c r="C71" s="128" t="s">
        <v>400</v>
      </c>
      <c r="D71" s="128" t="s">
        <v>401</v>
      </c>
    </row>
    <row r="72" spans="1:4" x14ac:dyDescent="0.25">
      <c r="A72" s="128" t="s">
        <v>402</v>
      </c>
      <c r="B72" s="128" t="s">
        <v>403</v>
      </c>
      <c r="C72" s="128" t="s">
        <v>404</v>
      </c>
      <c r="D72" s="128" t="s">
        <v>405</v>
      </c>
    </row>
    <row r="73" spans="1:4" x14ac:dyDescent="0.25">
      <c r="A73" s="128" t="s">
        <v>402</v>
      </c>
      <c r="B73" s="128" t="s">
        <v>406</v>
      </c>
      <c r="C73" s="128" t="s">
        <v>407</v>
      </c>
      <c r="D73" s="128" t="s">
        <v>408</v>
      </c>
    </row>
    <row r="74" spans="1:4" x14ac:dyDescent="0.25">
      <c r="A74" s="128" t="s">
        <v>402</v>
      </c>
      <c r="B74" s="128" t="s">
        <v>409</v>
      </c>
      <c r="C74" s="128" t="s">
        <v>410</v>
      </c>
      <c r="D74" s="128" t="s">
        <v>411</v>
      </c>
    </row>
    <row r="75" spans="1:4" x14ac:dyDescent="0.25">
      <c r="A75" s="128" t="s">
        <v>402</v>
      </c>
      <c r="B75" s="128" t="s">
        <v>412</v>
      </c>
      <c r="C75" s="128" t="s">
        <v>413</v>
      </c>
      <c r="D75" s="128" t="s">
        <v>414</v>
      </c>
    </row>
    <row r="76" spans="1:4" x14ac:dyDescent="0.25">
      <c r="A76" s="128" t="s">
        <v>402</v>
      </c>
      <c r="B76" s="128" t="s">
        <v>415</v>
      </c>
      <c r="C76" s="128" t="s">
        <v>416</v>
      </c>
      <c r="D76" s="128" t="s">
        <v>417</v>
      </c>
    </row>
    <row r="77" spans="1:4" ht="27" x14ac:dyDescent="0.25">
      <c r="A77" s="128" t="s">
        <v>402</v>
      </c>
      <c r="B77" s="128" t="s">
        <v>418</v>
      </c>
      <c r="C77" s="128" t="s">
        <v>419</v>
      </c>
      <c r="D77" s="128" t="s">
        <v>420</v>
      </c>
    </row>
    <row r="78" spans="1:4" ht="27" x14ac:dyDescent="0.25">
      <c r="A78" s="128" t="s">
        <v>216</v>
      </c>
      <c r="B78" s="128" t="s">
        <v>421</v>
      </c>
      <c r="C78" s="128" t="s">
        <v>422</v>
      </c>
      <c r="D78" s="128" t="s">
        <v>423</v>
      </c>
    </row>
    <row r="79" spans="1:4" x14ac:dyDescent="0.25">
      <c r="A79" s="128" t="s">
        <v>216</v>
      </c>
      <c r="B79" s="128" t="s">
        <v>424</v>
      </c>
      <c r="C79" s="128" t="s">
        <v>425</v>
      </c>
      <c r="D79" s="128" t="s">
        <v>426</v>
      </c>
    </row>
    <row r="80" spans="1:4" ht="27" x14ac:dyDescent="0.25">
      <c r="A80" s="128" t="s">
        <v>216</v>
      </c>
      <c r="B80" s="128" t="s">
        <v>427</v>
      </c>
      <c r="C80" s="128" t="s">
        <v>428</v>
      </c>
      <c r="D80" s="128" t="s">
        <v>429</v>
      </c>
    </row>
    <row r="81" spans="1:4" ht="27" x14ac:dyDescent="0.25">
      <c r="A81" s="128" t="s">
        <v>216</v>
      </c>
      <c r="B81" s="128" t="s">
        <v>430</v>
      </c>
      <c r="C81" s="128" t="s">
        <v>431</v>
      </c>
      <c r="D81" s="128" t="s">
        <v>432</v>
      </c>
    </row>
    <row r="82" spans="1:4" ht="27" x14ac:dyDescent="0.25">
      <c r="A82" s="128" t="s">
        <v>216</v>
      </c>
      <c r="B82" s="128" t="s">
        <v>433</v>
      </c>
      <c r="C82" s="128" t="s">
        <v>434</v>
      </c>
      <c r="D82" s="128" t="s">
        <v>435</v>
      </c>
    </row>
    <row r="83" spans="1:4" ht="27" x14ac:dyDescent="0.25">
      <c r="A83" s="128" t="s">
        <v>216</v>
      </c>
      <c r="B83" s="128" t="s">
        <v>436</v>
      </c>
      <c r="C83" s="128" t="s">
        <v>437</v>
      </c>
      <c r="D83" s="128" t="s">
        <v>438</v>
      </c>
    </row>
    <row r="84" spans="1:4" x14ac:dyDescent="0.25">
      <c r="A84" s="128" t="s">
        <v>216</v>
      </c>
      <c r="B84" s="128" t="s">
        <v>439</v>
      </c>
      <c r="C84" s="128" t="s">
        <v>440</v>
      </c>
      <c r="D84" s="128" t="s">
        <v>441</v>
      </c>
    </row>
    <row r="85" spans="1:4" x14ac:dyDescent="0.25">
      <c r="A85" s="128" t="s">
        <v>442</v>
      </c>
      <c r="B85" s="128" t="s">
        <v>443</v>
      </c>
      <c r="C85" s="128" t="s">
        <v>444</v>
      </c>
      <c r="D85" s="128" t="s">
        <v>445</v>
      </c>
    </row>
    <row r="86" spans="1:4" ht="27" x14ac:dyDescent="0.25">
      <c r="A86" s="128" t="s">
        <v>442</v>
      </c>
      <c r="B86" s="128" t="s">
        <v>446</v>
      </c>
      <c r="C86" s="128" t="s">
        <v>447</v>
      </c>
      <c r="D86" s="128" t="s">
        <v>448</v>
      </c>
    </row>
    <row r="87" spans="1:4" ht="27" x14ac:dyDescent="0.25">
      <c r="A87" s="128" t="s">
        <v>449</v>
      </c>
      <c r="B87" s="128" t="s">
        <v>311</v>
      </c>
      <c r="C87" s="128" t="s">
        <v>450</v>
      </c>
      <c r="D87" s="128" t="s">
        <v>451</v>
      </c>
    </row>
    <row r="88" spans="1:4" ht="27" x14ac:dyDescent="0.25">
      <c r="A88" s="128" t="s">
        <v>449</v>
      </c>
      <c r="B88" s="128" t="s">
        <v>452</v>
      </c>
      <c r="C88" s="128" t="s">
        <v>453</v>
      </c>
      <c r="D88" s="128" t="s">
        <v>454</v>
      </c>
    </row>
    <row r="89" spans="1:4" ht="27" x14ac:dyDescent="0.25">
      <c r="A89" s="128" t="s">
        <v>210</v>
      </c>
      <c r="B89" s="128" t="s">
        <v>455</v>
      </c>
      <c r="C89" s="128" t="s">
        <v>456</v>
      </c>
      <c r="D89" s="128" t="s">
        <v>457</v>
      </c>
    </row>
    <row r="90" spans="1:4" ht="27" x14ac:dyDescent="0.25">
      <c r="A90" s="128" t="s">
        <v>210</v>
      </c>
      <c r="B90" s="128" t="s">
        <v>255</v>
      </c>
      <c r="C90" s="128" t="s">
        <v>458</v>
      </c>
      <c r="D90" s="128" t="s">
        <v>459</v>
      </c>
    </row>
    <row r="91" spans="1:4" x14ac:dyDescent="0.25">
      <c r="A91" s="128" t="s">
        <v>210</v>
      </c>
      <c r="B91" s="128" t="s">
        <v>258</v>
      </c>
      <c r="C91" s="128" t="s">
        <v>460</v>
      </c>
      <c r="D91" s="128" t="s">
        <v>461</v>
      </c>
    </row>
    <row r="92" spans="1:4" ht="40.5" x14ac:dyDescent="0.25">
      <c r="A92" s="128" t="s">
        <v>210</v>
      </c>
      <c r="B92" s="128" t="s">
        <v>261</v>
      </c>
      <c r="C92" s="128" t="s">
        <v>462</v>
      </c>
      <c r="D92" s="128" t="s">
        <v>463</v>
      </c>
    </row>
    <row r="93" spans="1:4" ht="40.5" x14ac:dyDescent="0.25">
      <c r="A93" s="128" t="s">
        <v>210</v>
      </c>
      <c r="B93" s="128" t="s">
        <v>264</v>
      </c>
      <c r="C93" s="128" t="s">
        <v>464</v>
      </c>
      <c r="D93" s="128" t="s">
        <v>465</v>
      </c>
    </row>
    <row r="94" spans="1:4" ht="27" x14ac:dyDescent="0.25">
      <c r="A94" s="128" t="s">
        <v>210</v>
      </c>
      <c r="B94" s="128" t="s">
        <v>267</v>
      </c>
      <c r="C94" s="128" t="s">
        <v>466</v>
      </c>
      <c r="D94" s="128" t="s">
        <v>467</v>
      </c>
    </row>
    <row r="95" spans="1:4" ht="27" x14ac:dyDescent="0.25">
      <c r="A95" s="128" t="s">
        <v>210</v>
      </c>
      <c r="B95" s="128" t="s">
        <v>270</v>
      </c>
      <c r="C95" s="128" t="s">
        <v>468</v>
      </c>
      <c r="D95" s="128" t="s">
        <v>469</v>
      </c>
    </row>
    <row r="96" spans="1:4" x14ac:dyDescent="0.25">
      <c r="A96" s="128" t="s">
        <v>210</v>
      </c>
      <c r="B96" s="128" t="s">
        <v>273</v>
      </c>
      <c r="C96" s="128" t="s">
        <v>470</v>
      </c>
      <c r="D96" s="128" t="s">
        <v>471</v>
      </c>
    </row>
    <row r="97" spans="1:4" ht="27" x14ac:dyDescent="0.25">
      <c r="A97" s="128" t="s">
        <v>235</v>
      </c>
      <c r="B97" s="128" t="s">
        <v>472</v>
      </c>
      <c r="C97" s="128" t="s">
        <v>473</v>
      </c>
      <c r="D97" s="128" t="s">
        <v>474</v>
      </c>
    </row>
    <row r="98" spans="1:4" ht="27" x14ac:dyDescent="0.25">
      <c r="A98" s="128" t="s">
        <v>235</v>
      </c>
      <c r="B98" s="128" t="s">
        <v>475</v>
      </c>
      <c r="C98" s="128" t="s">
        <v>476</v>
      </c>
      <c r="D98" s="128" t="s">
        <v>477</v>
      </c>
    </row>
    <row r="99" spans="1:4" x14ac:dyDescent="0.25">
      <c r="A99" s="128" t="s">
        <v>235</v>
      </c>
      <c r="B99" s="128" t="s">
        <v>478</v>
      </c>
      <c r="C99" s="128" t="s">
        <v>479</v>
      </c>
      <c r="D99" s="128" t="s">
        <v>480</v>
      </c>
    </row>
    <row r="100" spans="1:4" x14ac:dyDescent="0.25">
      <c r="A100" s="128" t="s">
        <v>235</v>
      </c>
      <c r="B100" s="128" t="s">
        <v>481</v>
      </c>
      <c r="C100" s="128" t="s">
        <v>482</v>
      </c>
      <c r="D100" s="128" t="s">
        <v>483</v>
      </c>
    </row>
    <row r="101" spans="1:4" x14ac:dyDescent="0.25">
      <c r="A101" s="128" t="s">
        <v>235</v>
      </c>
      <c r="B101" s="128" t="s">
        <v>484</v>
      </c>
      <c r="C101" s="128" t="s">
        <v>485</v>
      </c>
      <c r="D101" s="128" t="s">
        <v>486</v>
      </c>
    </row>
    <row r="102" spans="1:4" ht="27" x14ac:dyDescent="0.25">
      <c r="A102" s="128" t="s">
        <v>235</v>
      </c>
      <c r="B102" s="128" t="s">
        <v>487</v>
      </c>
      <c r="C102" s="128" t="s">
        <v>488</v>
      </c>
      <c r="D102" s="128" t="s">
        <v>489</v>
      </c>
    </row>
    <row r="103" spans="1:4" ht="27" x14ac:dyDescent="0.25">
      <c r="A103" s="128" t="s">
        <v>235</v>
      </c>
      <c r="B103" s="128" t="s">
        <v>490</v>
      </c>
      <c r="C103" s="128" t="s">
        <v>491</v>
      </c>
      <c r="D103" s="128" t="s">
        <v>492</v>
      </c>
    </row>
    <row r="104" spans="1:4" x14ac:dyDescent="0.25">
      <c r="A104" s="128" t="s">
        <v>235</v>
      </c>
      <c r="B104" s="128" t="s">
        <v>0</v>
      </c>
      <c r="C104" s="128" t="s">
        <v>493</v>
      </c>
      <c r="D104" s="128" t="s">
        <v>494</v>
      </c>
    </row>
    <row r="105" spans="1:4" x14ac:dyDescent="0.25">
      <c r="A105" s="128" t="s">
        <v>235</v>
      </c>
      <c r="B105" s="128" t="s">
        <v>113</v>
      </c>
      <c r="C105" s="128" t="s">
        <v>495</v>
      </c>
      <c r="D105" s="128" t="s">
        <v>496</v>
      </c>
    </row>
    <row r="106" spans="1:4" x14ac:dyDescent="0.25">
      <c r="A106" s="128" t="s">
        <v>235</v>
      </c>
      <c r="B106" s="128" t="s">
        <v>497</v>
      </c>
      <c r="C106" s="128" t="s">
        <v>498</v>
      </c>
      <c r="D106" s="128" t="s">
        <v>499</v>
      </c>
    </row>
    <row r="107" spans="1:4" ht="27" x14ac:dyDescent="0.25">
      <c r="A107" s="128" t="s">
        <v>235</v>
      </c>
      <c r="B107" s="128" t="s">
        <v>500</v>
      </c>
      <c r="C107" s="128" t="s">
        <v>501</v>
      </c>
      <c r="D107" s="128" t="s">
        <v>502</v>
      </c>
    </row>
    <row r="108" spans="1:4" ht="27" x14ac:dyDescent="0.25">
      <c r="A108" s="128" t="s">
        <v>235</v>
      </c>
      <c r="B108" s="128" t="s">
        <v>503</v>
      </c>
      <c r="C108" s="128" t="s">
        <v>504</v>
      </c>
      <c r="D108" s="128" t="s">
        <v>505</v>
      </c>
    </row>
    <row r="109" spans="1:4" ht="27" x14ac:dyDescent="0.25">
      <c r="A109" s="128" t="s">
        <v>235</v>
      </c>
      <c r="B109" s="128" t="s">
        <v>239</v>
      </c>
      <c r="C109" s="128" t="s">
        <v>506</v>
      </c>
      <c r="D109" s="128" t="s">
        <v>507</v>
      </c>
    </row>
    <row r="110" spans="1:4" x14ac:dyDescent="0.25">
      <c r="A110" s="128" t="s">
        <v>235</v>
      </c>
      <c r="B110" s="128" t="s">
        <v>508</v>
      </c>
      <c r="C110" s="128" t="s">
        <v>509</v>
      </c>
      <c r="D110" s="128" t="s">
        <v>510</v>
      </c>
    </row>
    <row r="111" spans="1:4" ht="40.5" x14ac:dyDescent="0.25">
      <c r="A111" s="128" t="s">
        <v>235</v>
      </c>
      <c r="B111" s="128" t="s">
        <v>511</v>
      </c>
      <c r="C111" s="128" t="s">
        <v>512</v>
      </c>
      <c r="D111" s="128" t="s">
        <v>513</v>
      </c>
    </row>
    <row r="112" spans="1:4" ht="27" x14ac:dyDescent="0.25">
      <c r="A112" s="128" t="s">
        <v>235</v>
      </c>
      <c r="B112" s="128" t="s">
        <v>514</v>
      </c>
      <c r="C112" s="128" t="s">
        <v>515</v>
      </c>
      <c r="D112" s="128" t="s">
        <v>516</v>
      </c>
    </row>
    <row r="113" spans="1:4" x14ac:dyDescent="0.25">
      <c r="A113" s="128" t="s">
        <v>517</v>
      </c>
      <c r="B113" s="128" t="s">
        <v>518</v>
      </c>
      <c r="C113" s="128" t="s">
        <v>519</v>
      </c>
      <c r="D113" s="128" t="s">
        <v>520</v>
      </c>
    </row>
    <row r="114" spans="1:4" x14ac:dyDescent="0.25">
      <c r="A114" s="128" t="s">
        <v>517</v>
      </c>
      <c r="B114" s="128" t="s">
        <v>521</v>
      </c>
      <c r="C114" s="128" t="s">
        <v>522</v>
      </c>
      <c r="D114" s="128" t="s">
        <v>523</v>
      </c>
    </row>
    <row r="115" spans="1:4" x14ac:dyDescent="0.25">
      <c r="A115" s="128" t="s">
        <v>517</v>
      </c>
      <c r="B115" s="128" t="s">
        <v>524</v>
      </c>
      <c r="C115" s="128" t="s">
        <v>525</v>
      </c>
      <c r="D115" s="128" t="s">
        <v>526</v>
      </c>
    </row>
    <row r="116" spans="1:4" ht="27" x14ac:dyDescent="0.25">
      <c r="A116" s="128" t="s">
        <v>276</v>
      </c>
      <c r="B116" s="128" t="s">
        <v>277</v>
      </c>
      <c r="C116" s="128" t="s">
        <v>527</v>
      </c>
      <c r="D116" s="128" t="s">
        <v>528</v>
      </c>
    </row>
    <row r="117" spans="1:4" x14ac:dyDescent="0.25">
      <c r="A117" s="128" t="s">
        <v>276</v>
      </c>
      <c r="B117" s="128" t="s">
        <v>529</v>
      </c>
      <c r="C117" s="128" t="s">
        <v>530</v>
      </c>
      <c r="D117" s="128" t="s">
        <v>531</v>
      </c>
    </row>
    <row r="118" spans="1:4" x14ac:dyDescent="0.25">
      <c r="A118" s="128" t="s">
        <v>276</v>
      </c>
      <c r="B118" s="128" t="s">
        <v>532</v>
      </c>
      <c r="C118" s="128" t="s">
        <v>533</v>
      </c>
      <c r="D118" s="128" t="s">
        <v>534</v>
      </c>
    </row>
    <row r="119" spans="1:4" x14ac:dyDescent="0.25">
      <c r="A119" s="128" t="s">
        <v>276</v>
      </c>
      <c r="B119" s="128" t="s">
        <v>535</v>
      </c>
      <c r="C119" s="128" t="s">
        <v>536</v>
      </c>
      <c r="D119" s="128" t="s">
        <v>537</v>
      </c>
    </row>
    <row r="120" spans="1:4" x14ac:dyDescent="0.25">
      <c r="A120" s="128" t="s">
        <v>276</v>
      </c>
      <c r="B120" s="128" t="s">
        <v>538</v>
      </c>
      <c r="C120" s="128" t="s">
        <v>539</v>
      </c>
      <c r="D120" s="128" t="s">
        <v>540</v>
      </c>
    </row>
    <row r="121" spans="1:4" x14ac:dyDescent="0.25">
      <c r="A121" s="128" t="s">
        <v>541</v>
      </c>
      <c r="B121" s="128" t="s">
        <v>542</v>
      </c>
      <c r="C121" s="128" t="s">
        <v>543</v>
      </c>
      <c r="D121" s="128" t="s">
        <v>544</v>
      </c>
    </row>
    <row r="122" spans="1:4" x14ac:dyDescent="0.25">
      <c r="A122" s="128" t="s">
        <v>541</v>
      </c>
      <c r="B122" s="128" t="s">
        <v>545</v>
      </c>
      <c r="C122" s="128" t="s">
        <v>546</v>
      </c>
      <c r="D122" s="128" t="s">
        <v>547</v>
      </c>
    </row>
    <row r="123" spans="1:4" ht="27" x14ac:dyDescent="0.25">
      <c r="A123" s="128" t="s">
        <v>548</v>
      </c>
      <c r="B123" s="128" t="s">
        <v>549</v>
      </c>
      <c r="C123" s="128" t="s">
        <v>550</v>
      </c>
      <c r="D123" s="128" t="s">
        <v>551</v>
      </c>
    </row>
    <row r="124" spans="1:4" x14ac:dyDescent="0.25">
      <c r="A124" s="128" t="s">
        <v>548</v>
      </c>
      <c r="B124" s="128" t="s">
        <v>552</v>
      </c>
      <c r="C124" s="128" t="s">
        <v>553</v>
      </c>
      <c r="D124" s="128" t="s">
        <v>554</v>
      </c>
    </row>
    <row r="125" spans="1:4" x14ac:dyDescent="0.25">
      <c r="A125" s="128" t="s">
        <v>548</v>
      </c>
      <c r="B125" s="128" t="s">
        <v>555</v>
      </c>
      <c r="C125" s="128" t="s">
        <v>556</v>
      </c>
      <c r="D125" s="128" t="s">
        <v>557</v>
      </c>
    </row>
    <row r="126" spans="1:4" x14ac:dyDescent="0.25">
      <c r="A126" s="128" t="s">
        <v>548</v>
      </c>
      <c r="B126" s="128" t="s">
        <v>558</v>
      </c>
      <c r="C126" s="128" t="s">
        <v>559</v>
      </c>
      <c r="D126" s="128" t="s">
        <v>560</v>
      </c>
    </row>
    <row r="127" spans="1:4" x14ac:dyDescent="0.25">
      <c r="A127" s="128" t="s">
        <v>561</v>
      </c>
      <c r="B127" s="128" t="s">
        <v>562</v>
      </c>
      <c r="C127" s="128" t="s">
        <v>563</v>
      </c>
      <c r="D127" s="128" t="s">
        <v>564</v>
      </c>
    </row>
    <row r="128" spans="1:4" x14ac:dyDescent="0.25">
      <c r="A128" s="128" t="s">
        <v>561</v>
      </c>
      <c r="B128" s="128" t="s">
        <v>565</v>
      </c>
      <c r="C128" s="128" t="s">
        <v>566</v>
      </c>
      <c r="D128" s="128" t="s">
        <v>567</v>
      </c>
    </row>
    <row r="129" spans="1:4" x14ac:dyDescent="0.25">
      <c r="A129" s="128" t="s">
        <v>561</v>
      </c>
      <c r="B129" s="128" t="s">
        <v>568</v>
      </c>
      <c r="C129" s="128" t="s">
        <v>569</v>
      </c>
      <c r="D129" s="128" t="s">
        <v>570</v>
      </c>
    </row>
    <row r="130" spans="1:4" x14ac:dyDescent="0.25">
      <c r="A130" s="128" t="s">
        <v>561</v>
      </c>
      <c r="B130" s="128" t="s">
        <v>571</v>
      </c>
      <c r="C130" s="128" t="s">
        <v>572</v>
      </c>
      <c r="D130" s="128" t="s">
        <v>573</v>
      </c>
    </row>
    <row r="131" spans="1:4" ht="27" x14ac:dyDescent="0.25">
      <c r="A131" s="128" t="s">
        <v>574</v>
      </c>
      <c r="B131" s="128" t="s">
        <v>575</v>
      </c>
      <c r="C131" s="128" t="s">
        <v>576</v>
      </c>
      <c r="D131" s="128" t="s">
        <v>577</v>
      </c>
    </row>
    <row r="132" spans="1:4" x14ac:dyDescent="0.25">
      <c r="A132" s="128" t="s">
        <v>574</v>
      </c>
      <c r="B132" s="128" t="s">
        <v>578</v>
      </c>
      <c r="C132" s="128" t="s">
        <v>579</v>
      </c>
      <c r="D132" s="128" t="s">
        <v>580</v>
      </c>
    </row>
    <row r="133" spans="1:4" x14ac:dyDescent="0.25">
      <c r="A133" s="128" t="s">
        <v>574</v>
      </c>
      <c r="B133" s="128" t="s">
        <v>581</v>
      </c>
      <c r="C133" s="128" t="s">
        <v>582</v>
      </c>
      <c r="D133" s="128" t="s">
        <v>583</v>
      </c>
    </row>
    <row r="134" spans="1:4" x14ac:dyDescent="0.25">
      <c r="A134" s="128" t="s">
        <v>574</v>
      </c>
      <c r="B134" s="128" t="s">
        <v>584</v>
      </c>
      <c r="C134" s="128" t="s">
        <v>585</v>
      </c>
      <c r="D134" s="128" t="s">
        <v>586</v>
      </c>
    </row>
    <row r="135" spans="1:4" x14ac:dyDescent="0.25">
      <c r="A135" s="128" t="s">
        <v>574</v>
      </c>
      <c r="B135" s="128" t="s">
        <v>587</v>
      </c>
      <c r="C135" s="128" t="s">
        <v>588</v>
      </c>
      <c r="D135" s="128" t="s">
        <v>589</v>
      </c>
    </row>
    <row r="136" spans="1:4" x14ac:dyDescent="0.25">
      <c r="A136" s="128" t="s">
        <v>574</v>
      </c>
      <c r="B136" s="128" t="s">
        <v>590</v>
      </c>
      <c r="C136" s="128" t="s">
        <v>591</v>
      </c>
      <c r="D136" s="128" t="s">
        <v>592</v>
      </c>
    </row>
    <row r="137" spans="1:4" x14ac:dyDescent="0.25">
      <c r="A137" s="128" t="s">
        <v>574</v>
      </c>
      <c r="B137" s="128" t="s">
        <v>593</v>
      </c>
      <c r="C137" s="128" t="s">
        <v>594</v>
      </c>
      <c r="D137" s="128" t="s">
        <v>595</v>
      </c>
    </row>
    <row r="138" spans="1:4" ht="27" x14ac:dyDescent="0.25">
      <c r="A138" s="128" t="s">
        <v>596</v>
      </c>
      <c r="B138" s="128" t="s">
        <v>597</v>
      </c>
      <c r="C138" s="128" t="s">
        <v>598</v>
      </c>
      <c r="D138" s="128" t="s">
        <v>599</v>
      </c>
    </row>
    <row r="139" spans="1:4" ht="27" x14ac:dyDescent="0.25">
      <c r="A139" s="128" t="s">
        <v>596</v>
      </c>
      <c r="B139" s="128" t="s">
        <v>600</v>
      </c>
      <c r="C139" s="128" t="s">
        <v>601</v>
      </c>
      <c r="D139" s="128" t="s">
        <v>602</v>
      </c>
    </row>
    <row r="140" spans="1:4" x14ac:dyDescent="0.25">
      <c r="A140" s="128" t="s">
        <v>596</v>
      </c>
      <c r="B140" s="128" t="s">
        <v>603</v>
      </c>
      <c r="C140" s="128" t="s">
        <v>604</v>
      </c>
      <c r="D140" s="128" t="s">
        <v>605</v>
      </c>
    </row>
    <row r="141" spans="1:4" ht="27" x14ac:dyDescent="0.25">
      <c r="A141" s="128" t="s">
        <v>596</v>
      </c>
      <c r="B141" s="128" t="s">
        <v>606</v>
      </c>
      <c r="C141" s="128" t="s">
        <v>607</v>
      </c>
      <c r="D141" s="128" t="s">
        <v>608</v>
      </c>
    </row>
    <row r="142" spans="1:4" ht="54" x14ac:dyDescent="0.25">
      <c r="A142" s="128" t="s">
        <v>609</v>
      </c>
      <c r="B142" s="128" t="s">
        <v>610</v>
      </c>
      <c r="C142" s="128" t="s">
        <v>611</v>
      </c>
      <c r="D142" s="128" t="s">
        <v>612</v>
      </c>
    </row>
    <row r="143" spans="1:4" ht="27" x14ac:dyDescent="0.25">
      <c r="A143" s="128" t="s">
        <v>609</v>
      </c>
      <c r="B143" s="128" t="s">
        <v>613</v>
      </c>
      <c r="C143" s="128" t="s">
        <v>614</v>
      </c>
      <c r="D143" s="128" t="s">
        <v>615</v>
      </c>
    </row>
    <row r="144" spans="1:4" ht="27" x14ac:dyDescent="0.25">
      <c r="A144" s="130" t="s">
        <v>609</v>
      </c>
      <c r="B144" s="130" t="s">
        <v>616</v>
      </c>
      <c r="C144" s="130" t="s">
        <v>617</v>
      </c>
      <c r="D144" s="130" t="s">
        <v>618</v>
      </c>
    </row>
  </sheetData>
  <mergeCells count="2">
    <mergeCell ref="A1:D1"/>
    <mergeCell ref="A54:D5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CALCULADORA</vt:lpstr>
      <vt:lpstr>FULL</vt:lpstr>
      <vt:lpstr>FRETE</vt:lpstr>
      <vt:lpstr>WEB_APP_SPEC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Costa</dc:creator>
  <cp:lastModifiedBy>Clayton Costa</cp:lastModifiedBy>
  <dcterms:created xsi:type="dcterms:W3CDTF">2026-03-26T20:08:00Z</dcterms:created>
  <dcterms:modified xsi:type="dcterms:W3CDTF">2026-04-25T14:28:45Z</dcterms:modified>
</cp:coreProperties>
</file>